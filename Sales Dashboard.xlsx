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ELCOT\Downloads\Excel dashboard\"/>
    </mc:Choice>
  </mc:AlternateContent>
  <xr:revisionPtr revIDLastSave="0" documentId="8_{97572133-7A9D-4D6F-8AA1-8C58D5C08A66}" xr6:coauthVersionLast="47" xr6:coauthVersionMax="47" xr10:uidLastSave="{00000000-0000-0000-0000-000000000000}"/>
  <bookViews>
    <workbookView xWindow="-120" yWindow="-120" windowWidth="20730" windowHeight="11040" activeTab="2" xr2:uid="{C0893FBD-34B3-420E-B0D6-EC330180DDEA}"/>
  </bookViews>
  <sheets>
    <sheet name="Sheet1" sheetId="4" r:id="rId1"/>
    <sheet name="SalesData" sheetId="3" r:id="rId2"/>
    <sheet name="Sheet2" sheetId="5" r:id="rId3"/>
  </sheets>
  <definedNames>
    <definedName name="Slicer_Product">#N/A</definedName>
    <definedName name="Slicer_Region">#N/A</definedName>
    <definedName name="Slicer_Region1">#N/A</definedName>
    <definedName name="Slicer_Sales_Person">#N/A</definedName>
    <definedName name="Slicer_Sales_Person1">#N/A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1" i="3" l="1"/>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L14" i="3"/>
  <c r="I14" i="3"/>
  <c r="H14" i="3"/>
  <c r="G14" i="3"/>
  <c r="F14" i="3"/>
  <c r="I13" i="3"/>
  <c r="H13" i="3"/>
  <c r="G13" i="3"/>
  <c r="F13" i="3"/>
  <c r="I12" i="3"/>
  <c r="H12" i="3"/>
  <c r="G12" i="3"/>
  <c r="F12" i="3"/>
  <c r="I11" i="3"/>
  <c r="H11" i="3"/>
  <c r="G11" i="3"/>
  <c r="F11" i="3"/>
  <c r="L10" i="3"/>
  <c r="I10" i="3"/>
  <c r="H10" i="3"/>
  <c r="G10" i="3"/>
  <c r="F10" i="3"/>
  <c r="I9" i="3"/>
  <c r="H9" i="3"/>
  <c r="G9" i="3"/>
  <c r="F9" i="3"/>
  <c r="I8" i="3"/>
  <c r="H8" i="3"/>
  <c r="G8" i="3"/>
  <c r="F8" i="3"/>
  <c r="I7" i="3"/>
  <c r="H7" i="3"/>
  <c r="G7" i="3"/>
  <c r="F7" i="3"/>
  <c r="L6" i="3"/>
  <c r="I6" i="3"/>
  <c r="H6" i="3"/>
  <c r="G6" i="3"/>
  <c r="F6" i="3"/>
  <c r="I5" i="3"/>
  <c r="H5" i="3"/>
  <c r="G5" i="3"/>
  <c r="F5" i="3"/>
  <c r="I4" i="3"/>
  <c r="H4" i="3"/>
  <c r="G4" i="3"/>
  <c r="F4" i="3"/>
  <c r="I3" i="3"/>
  <c r="H3" i="3"/>
  <c r="G3" i="3"/>
  <c r="F3" i="3"/>
  <c r="L2" i="3"/>
  <c r="I2" i="3"/>
  <c r="H2" i="3"/>
  <c r="G2" i="3"/>
  <c r="F2" i="3"/>
</calcChain>
</file>

<file path=xl/sharedStrings.xml><?xml version="1.0" encoding="utf-8"?>
<sst xmlns="http://schemas.openxmlformats.org/spreadsheetml/2006/main" count="200" uniqueCount="37">
  <si>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</si>
  <si>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</si>
  <si>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</si>
  <si>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</si>
  <si>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</si>
  <si>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</si>
  <si>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</si>
  <si>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</si>
  <si>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</si>
  <si>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</si>
  <si>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</si>
  <si>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</si>
  <si>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</si>
  <si>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</si>
  <si>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</si>
  <si>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</si>
  <si>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</si>
  <si>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</si>
  <si>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</si>
  <si>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</si>
  <si>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</si>
  <si>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</si>
  <si>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</si>
  <si>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</si>
  <si>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</si>
  <si>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</si>
  <si>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</si>
  <si>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</si>
  <si>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</si>
  <si>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</si>
  <si>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</si>
  <si>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Total unit sold</t>
  </si>
  <si>
    <t>Total Profit</t>
  </si>
  <si>
    <t>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</si>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</sst>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quot;Rs.&quot;\ * #,##0_ ;_ &quot;Rs.&quot;\ * \-#,##0_ ;_ &quot;Rs.&quot;\ * &quot;-&quot;_ ;_ @_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2">
    <xf numFmtId="0" fontId="0" fillId="0" borderId="0"/>
    <xf numFmtId="164" fontId="1" fillId="0" borderId="0" applyFont="0" applyFill="0" applyBorder="0" applyAlignment="0" applyProtection="0"/>
  </cellStyleXfs>
  <cellXfs count="10">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Alignment="1">
      <alignment horizontal="center" vertical="center"/>
    </xf>
    <xf numFmtId="16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0" fontId="0" fillId="0" borderId="0" xfId="0" pivotButton="1"/>
  </cellXfs>
  <cellStyles count="2">
    <cellStyle name="Currency [0]" xfId="1" builtinId="7"/>
    <cellStyle name="Normal" xfId="0" builtinId="0"/>
  </cellStyles>
  <dxfs count="9">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fill>
        <patternFill>
          <bgColor rgb="FF4CCEDC"/>
        </patternFill>
      </fill>
    </dxf>
  </dxfs>
  <tableStyles count="2" defaultTableStyle="TableStyleMedium2" defaultPivotStyle="PivotStyleLight16">
    <tableStyle name="Invisible" pivot="0" table="0" count="0" xr9:uid="{BDFCBA0C-0FAD-47E9-B8E0-311E6D449765}"/>
    <tableStyle name="Slicer Style 1" pivot="0" table="0" count="1" xr9:uid="{A168B021-6C41-4615-BD07-CFD2E17BDAA7}">
      <tableStyleElement type="wholeTable" dxfId="8"/>
    </tableStyle>
  </tableStyles>
  <colors>
    <mruColors>
      <color rgb="FF4CCED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C5-4D60-8930-5B2AB6CC56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C5-4D60-8930-5B2AB6CC56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C5-4D60-8930-5B2AB6CC56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C5-4D60-8930-5B2AB6CC56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East</c:v>
                </c:pt>
                <c:pt idx="1">
                  <c:v>North</c:v>
                </c:pt>
                <c:pt idx="2">
                  <c:v>South</c:v>
                </c:pt>
                <c:pt idx="3">
                  <c:v>West</c:v>
                </c:pt>
              </c:strCache>
            </c:strRef>
          </c:cat>
          <c:val>
            <c:numRef>
              <c:f>Sheet1!$B$4:$B$8</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0-BE50-4E4B-A088-D19577C486E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Sheet1!$F$3</c:f>
              <c:strCache>
                <c:ptCount val="1"/>
                <c:pt idx="0">
                  <c:v>Total</c:v>
                </c:pt>
              </c:strCache>
            </c:strRef>
          </c:tx>
          <c:spPr>
            <a:solidFill>
              <a:schemeClr val="accent1"/>
            </a:solidFill>
            <a:ln>
              <a:noFill/>
            </a:ln>
            <a:effectLst/>
          </c:spPr>
          <c:invertIfNegative val="0"/>
          <c:cat>
            <c:strRef>
              <c:f>Sheet1!$E$4:$E$11</c:f>
              <c:strCache>
                <c:ptCount val="7"/>
                <c:pt idx="0">
                  <c:v>Action Figure</c:v>
                </c:pt>
                <c:pt idx="1">
                  <c:v>Blender</c:v>
                </c:pt>
                <c:pt idx="2">
                  <c:v>Moisturizer</c:v>
                </c:pt>
                <c:pt idx="3">
                  <c:v>Novel</c:v>
                </c:pt>
                <c:pt idx="4">
                  <c:v>Smartphone</c:v>
                </c:pt>
                <c:pt idx="5">
                  <c:v>Sneakers</c:v>
                </c:pt>
                <c:pt idx="6">
                  <c:v>Tent</c:v>
                </c:pt>
              </c:strCache>
            </c:strRef>
          </c:cat>
          <c:val>
            <c:numRef>
              <c:f>Sheet1!$F$4:$F$11</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C1EB-459F-8A60-DFF6D1C0E581}"/>
            </c:ext>
          </c:extLst>
        </c:ser>
        <c:dLbls>
          <c:showLegendKey val="0"/>
          <c:showVal val="0"/>
          <c:showCatName val="0"/>
          <c:showSerName val="0"/>
          <c:showPercent val="0"/>
          <c:showBubbleSize val="0"/>
        </c:dLbls>
        <c:gapWidth val="182"/>
        <c:axId val="460540096"/>
        <c:axId val="460530496"/>
      </c:barChart>
      <c:catAx>
        <c:axId val="46054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30496"/>
        <c:crosses val="autoZero"/>
        <c:auto val="1"/>
        <c:lblAlgn val="ctr"/>
        <c:lblOffset val="100"/>
        <c:noMultiLvlLbl val="0"/>
      </c:catAx>
      <c:valAx>
        <c:axId val="460530496"/>
        <c:scaling>
          <c:orientation val="minMax"/>
        </c:scaling>
        <c:delete val="0"/>
        <c:axPos val="b"/>
        <c:majorGridlines>
          <c:spPr>
            <a:ln w="9525" cap="flat" cmpd="sng" algn="ctr">
              <a:solidFill>
                <a:schemeClr val="tx1">
                  <a:lumMod val="15000"/>
                  <a:lumOff val="85000"/>
                </a:schemeClr>
              </a:solidFill>
              <a:round/>
            </a:ln>
            <a:effectLst/>
          </c:spPr>
        </c:majorGridlines>
        <c:numFmt formatCode="_ &quot;Rs.&quot;\ * #,##0_ ;_ &quot;Rs.&quot;\ * \-#,##0_ ;_ &quot;Rs.&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Sheet1!$J$3</c:f>
              <c:strCache>
                <c:ptCount val="1"/>
                <c:pt idx="0">
                  <c:v>Total</c:v>
                </c:pt>
              </c:strCache>
            </c:strRef>
          </c:tx>
          <c:spPr>
            <a:solidFill>
              <a:schemeClr val="accent1"/>
            </a:solidFill>
            <a:ln>
              <a:noFill/>
            </a:ln>
            <a:effectLst/>
          </c:spPr>
          <c:invertIfNegative val="0"/>
          <c:cat>
            <c:strRef>
              <c:f>Sheet1!$I$4:$I$14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Sheet1!$J$4:$J$14</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3632-466D-859F-0EC18139BE81}"/>
            </c:ext>
          </c:extLst>
        </c:ser>
        <c:dLbls>
          <c:showLegendKey val="0"/>
          <c:showVal val="0"/>
          <c:showCatName val="0"/>
          <c:showSerName val="0"/>
          <c:showPercent val="0"/>
          <c:showBubbleSize val="0"/>
        </c:dLbls>
        <c:gapWidth val="219"/>
        <c:overlap val="-27"/>
        <c:axId val="1309600496"/>
        <c:axId val="1309600016"/>
      </c:barChart>
      <c:catAx>
        <c:axId val="130960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00016"/>
        <c:crosses val="autoZero"/>
        <c:auto val="1"/>
        <c:lblAlgn val="ctr"/>
        <c:lblOffset val="100"/>
        <c:noMultiLvlLbl val="0"/>
      </c:catAx>
      <c:valAx>
        <c:axId val="1309600016"/>
        <c:scaling>
          <c:orientation val="minMax"/>
        </c:scaling>
        <c:delete val="0"/>
        <c:axPos val="l"/>
        <c:majorGridlines>
          <c:spPr>
            <a:ln w="9525" cap="flat" cmpd="sng" algn="ctr">
              <a:solidFill>
                <a:schemeClr val="tx1">
                  <a:lumMod val="15000"/>
                  <a:lumOff val="85000"/>
                </a:schemeClr>
              </a:solidFill>
              <a:round/>
            </a:ln>
            <a:effectLst/>
          </c:spPr>
        </c:majorGridlines>
        <c:numFmt formatCode="_ &quot;Rs.&quot;\ * #,##0_ ;_ &quot;Rs.&quot;\ * \-#,##0_ ;_ &quot;Rs.&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Sheet1!$M$4:$M$8</c:f>
              <c:strCache>
                <c:ptCount val="4"/>
                <c:pt idx="0">
                  <c:v>East</c:v>
                </c:pt>
                <c:pt idx="1">
                  <c:v>North</c:v>
                </c:pt>
                <c:pt idx="2">
                  <c:v>South</c:v>
                </c:pt>
                <c:pt idx="3">
                  <c:v>West</c:v>
                </c:pt>
              </c:strCache>
            </c:strRef>
          </c:cat>
          <c:val>
            <c:numRef>
              <c:f>Sheet1!$N$4:$N$8</c:f>
              <c:numCache>
                <c:formatCode>General</c:formatCode>
                <c:ptCount val="4"/>
                <c:pt idx="0">
                  <c:v>966</c:v>
                </c:pt>
                <c:pt idx="1">
                  <c:v>1139</c:v>
                </c:pt>
                <c:pt idx="2">
                  <c:v>1496</c:v>
                </c:pt>
                <c:pt idx="3">
                  <c:v>1104</c:v>
                </c:pt>
              </c:numCache>
            </c:numRef>
          </c:val>
          <c:smooth val="0"/>
          <c:extLst>
            <c:ext xmlns:c16="http://schemas.microsoft.com/office/drawing/2014/chart" uri="{C3380CC4-5D6E-409C-BE32-E72D297353CC}">
              <c16:uniqueId val="{00000000-1A1F-4423-9C2C-6CFA7EE38B20}"/>
            </c:ext>
          </c:extLst>
        </c:ser>
        <c:dLbls>
          <c:showLegendKey val="0"/>
          <c:showVal val="0"/>
          <c:showCatName val="0"/>
          <c:showSerName val="0"/>
          <c:showPercent val="0"/>
          <c:showBubbleSize val="0"/>
        </c:dLbls>
        <c:marker val="1"/>
        <c:smooth val="0"/>
        <c:axId val="1309970416"/>
        <c:axId val="1309973776"/>
      </c:lineChart>
      <c:catAx>
        <c:axId val="130997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73776"/>
        <c:crosses val="autoZero"/>
        <c:auto val="1"/>
        <c:lblAlgn val="ctr"/>
        <c:lblOffset val="100"/>
        <c:noMultiLvlLbl val="0"/>
      </c:catAx>
      <c:valAx>
        <c:axId val="130997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7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Sheet1!$F$3</c:f>
              <c:strCache>
                <c:ptCount val="1"/>
                <c:pt idx="0">
                  <c:v>Total</c:v>
                </c:pt>
              </c:strCache>
            </c:strRef>
          </c:tx>
          <c:spPr>
            <a:solidFill>
              <a:schemeClr val="accent1"/>
            </a:solidFill>
            <a:ln>
              <a:noFill/>
            </a:ln>
            <a:effectLst/>
          </c:spPr>
          <c:invertIfNegative val="0"/>
          <c:cat>
            <c:strRef>
              <c:f>Sheet1!$E$4:$E$11</c:f>
              <c:strCache>
                <c:ptCount val="7"/>
                <c:pt idx="0">
                  <c:v>Action Figure</c:v>
                </c:pt>
                <c:pt idx="1">
                  <c:v>Blender</c:v>
                </c:pt>
                <c:pt idx="2">
                  <c:v>Moisturizer</c:v>
                </c:pt>
                <c:pt idx="3">
                  <c:v>Novel</c:v>
                </c:pt>
                <c:pt idx="4">
                  <c:v>Smartphone</c:v>
                </c:pt>
                <c:pt idx="5">
                  <c:v>Sneakers</c:v>
                </c:pt>
                <c:pt idx="6">
                  <c:v>Tent</c:v>
                </c:pt>
              </c:strCache>
            </c:strRef>
          </c:cat>
          <c:val>
            <c:numRef>
              <c:f>Sheet1!$F$4:$F$11</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64CC-4ACF-BDA2-C0E07661E184}"/>
            </c:ext>
          </c:extLst>
        </c:ser>
        <c:dLbls>
          <c:showLegendKey val="0"/>
          <c:showVal val="0"/>
          <c:showCatName val="0"/>
          <c:showSerName val="0"/>
          <c:showPercent val="0"/>
          <c:showBubbleSize val="0"/>
        </c:dLbls>
        <c:gapWidth val="182"/>
        <c:axId val="460540096"/>
        <c:axId val="460530496"/>
      </c:barChart>
      <c:catAx>
        <c:axId val="46054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30496"/>
        <c:crosses val="autoZero"/>
        <c:auto val="1"/>
        <c:lblAlgn val="ctr"/>
        <c:lblOffset val="100"/>
        <c:noMultiLvlLbl val="0"/>
      </c:catAx>
      <c:valAx>
        <c:axId val="460530496"/>
        <c:scaling>
          <c:orientation val="minMax"/>
        </c:scaling>
        <c:delete val="0"/>
        <c:axPos val="b"/>
        <c:majorGridlines>
          <c:spPr>
            <a:ln w="9525" cap="flat" cmpd="sng" algn="ctr">
              <a:solidFill>
                <a:schemeClr val="tx1">
                  <a:lumMod val="15000"/>
                  <a:lumOff val="85000"/>
                </a:schemeClr>
              </a:solidFill>
              <a:round/>
            </a:ln>
            <a:effectLst/>
          </c:spPr>
        </c:majorGridlines>
        <c:numFmt formatCode="_ &quot;Rs.&quot;\ * #,##0_ ;_ &quot;Rs.&quot;\ * \-#,##0_ ;_ &quot;Rs.&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4D-403E-98CC-406E745162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4D-403E-98CC-406E745162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4D-403E-98CC-406E745162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4D-403E-98CC-406E745162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East</c:v>
                </c:pt>
                <c:pt idx="1">
                  <c:v>North</c:v>
                </c:pt>
                <c:pt idx="2">
                  <c:v>South</c:v>
                </c:pt>
                <c:pt idx="3">
                  <c:v>West</c:v>
                </c:pt>
              </c:strCache>
            </c:strRef>
          </c:cat>
          <c:val>
            <c:numRef>
              <c:f>Sheet1!$B$4:$B$8</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8-124D-403E-98CC-406E7451629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Sheet1!$J$3</c:f>
              <c:strCache>
                <c:ptCount val="1"/>
                <c:pt idx="0">
                  <c:v>Total</c:v>
                </c:pt>
              </c:strCache>
            </c:strRef>
          </c:tx>
          <c:spPr>
            <a:solidFill>
              <a:schemeClr val="accent1"/>
            </a:solidFill>
            <a:ln>
              <a:noFill/>
            </a:ln>
            <a:effectLst/>
          </c:spPr>
          <c:invertIfNegative val="0"/>
          <c:cat>
            <c:strRef>
              <c:f>Sheet1!$I$4:$I$14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Sheet1!$J$4:$J$14</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1DE5-45A0-B1E3-2A6E1AFF100B}"/>
            </c:ext>
          </c:extLst>
        </c:ser>
        <c:dLbls>
          <c:showLegendKey val="0"/>
          <c:showVal val="0"/>
          <c:showCatName val="0"/>
          <c:showSerName val="0"/>
          <c:showPercent val="0"/>
          <c:showBubbleSize val="0"/>
        </c:dLbls>
        <c:gapWidth val="219"/>
        <c:overlap val="-27"/>
        <c:axId val="1309600496"/>
        <c:axId val="1309600016"/>
      </c:barChart>
      <c:catAx>
        <c:axId val="130960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00016"/>
        <c:crosses val="autoZero"/>
        <c:auto val="1"/>
        <c:lblAlgn val="ctr"/>
        <c:lblOffset val="100"/>
        <c:noMultiLvlLbl val="0"/>
      </c:catAx>
      <c:valAx>
        <c:axId val="1309600016"/>
        <c:scaling>
          <c:orientation val="minMax"/>
        </c:scaling>
        <c:delete val="0"/>
        <c:axPos val="l"/>
        <c:majorGridlines>
          <c:spPr>
            <a:ln w="9525" cap="flat" cmpd="sng" algn="ctr">
              <a:solidFill>
                <a:schemeClr val="tx1">
                  <a:lumMod val="15000"/>
                  <a:lumOff val="85000"/>
                </a:schemeClr>
              </a:solidFill>
              <a:round/>
            </a:ln>
            <a:effectLst/>
          </c:spPr>
        </c:majorGridlines>
        <c:numFmt formatCode="_ &quot;Rs.&quot;\ * #,##0_ ;_ &quot;Rs.&quot;\ * \-#,##0_ ;_ &quot;Rs.&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6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Sheet1!$M$4:$M$8</c:f>
              <c:strCache>
                <c:ptCount val="4"/>
                <c:pt idx="0">
                  <c:v>East</c:v>
                </c:pt>
                <c:pt idx="1">
                  <c:v>North</c:v>
                </c:pt>
                <c:pt idx="2">
                  <c:v>South</c:v>
                </c:pt>
                <c:pt idx="3">
                  <c:v>West</c:v>
                </c:pt>
              </c:strCache>
            </c:strRef>
          </c:cat>
          <c:val>
            <c:numRef>
              <c:f>Sheet1!$N$4:$N$8</c:f>
              <c:numCache>
                <c:formatCode>General</c:formatCode>
                <c:ptCount val="4"/>
                <c:pt idx="0">
                  <c:v>966</c:v>
                </c:pt>
                <c:pt idx="1">
                  <c:v>1139</c:v>
                </c:pt>
                <c:pt idx="2">
                  <c:v>1496</c:v>
                </c:pt>
                <c:pt idx="3">
                  <c:v>1104</c:v>
                </c:pt>
              </c:numCache>
            </c:numRef>
          </c:val>
          <c:smooth val="0"/>
          <c:extLst>
            <c:ext xmlns:c16="http://schemas.microsoft.com/office/drawing/2014/chart" uri="{C3380CC4-5D6E-409C-BE32-E72D297353CC}">
              <c16:uniqueId val="{00000000-3D58-4011-98FF-9954A083D510}"/>
            </c:ext>
          </c:extLst>
        </c:ser>
        <c:dLbls>
          <c:showLegendKey val="0"/>
          <c:showVal val="0"/>
          <c:showCatName val="0"/>
          <c:showSerName val="0"/>
          <c:showPercent val="0"/>
          <c:showBubbleSize val="0"/>
        </c:dLbls>
        <c:marker val="1"/>
        <c:smooth val="0"/>
        <c:axId val="1309970416"/>
        <c:axId val="1309973776"/>
      </c:lineChart>
      <c:catAx>
        <c:axId val="130997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73776"/>
        <c:crosses val="autoZero"/>
        <c:auto val="1"/>
        <c:lblAlgn val="ctr"/>
        <c:lblOffset val="100"/>
        <c:noMultiLvlLbl val="0"/>
      </c:catAx>
      <c:valAx>
        <c:axId val="130997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7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266700</xdr:colOff>
      <xdr:row>15</xdr:row>
      <xdr:rowOff>4762</xdr:rowOff>
    </xdr:from>
    <xdr:to>
      <xdr:col>5</xdr:col>
      <xdr:colOff>647700</xdr:colOff>
      <xdr:row>29</xdr:row>
      <xdr:rowOff>80962</xdr:rowOff>
    </xdr:to>
    <xdr:graphicFrame macro="">
      <xdr:nvGraphicFramePr>
        <xdr:cNvPr id="2" name="Chart 1">
          <a:extLst>
            <a:ext uri="{FF2B5EF4-FFF2-40B4-BE49-F238E27FC236}">
              <a16:creationId xmlns:a16="http://schemas.microsoft.com/office/drawing/2014/main" id="{5723BB8B-3EE3-1CA2-9B06-94D9C1205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247650</xdr:colOff>
      <xdr:row>15</xdr:row>
      <xdr:rowOff>14287</xdr:rowOff>
    </xdr:from>
    <xdr:to>
      <xdr:col>14</xdr:col>
      <xdr:colOff>66675</xdr:colOff>
      <xdr:row>29</xdr:row>
      <xdr:rowOff>90487</xdr:rowOff>
    </xdr:to>
    <xdr:graphicFrame macro="">
      <xdr:nvGraphicFramePr>
        <xdr:cNvPr id="3" name="Chart 2">
          <a:extLst>
            <a:ext uri="{FF2B5EF4-FFF2-40B4-BE49-F238E27FC236}">
              <a16:creationId xmlns:a16="http://schemas.microsoft.com/office/drawing/2014/main" id="{9DE945D0-FFB2-2598-AC90-5C74D289E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285750</xdr:colOff>
      <xdr:row>30</xdr:row>
      <xdr:rowOff>176212</xdr:rowOff>
    </xdr:from>
    <xdr:to>
      <xdr:col>5</xdr:col>
      <xdr:colOff>666750</xdr:colOff>
      <xdr:row>45</xdr:row>
      <xdr:rowOff>61912</xdr:rowOff>
    </xdr:to>
    <xdr:graphicFrame macro="">
      <xdr:nvGraphicFramePr>
        <xdr:cNvPr id="4" name="Chart 3">
          <a:extLst>
            <a:ext uri="{FF2B5EF4-FFF2-40B4-BE49-F238E27FC236}">
              <a16:creationId xmlns:a16="http://schemas.microsoft.com/office/drawing/2014/main" id="{F1C026A0-EC4B-0A95-7F2C-BE6E6A8E4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266699</xdr:colOff>
      <xdr:row>30</xdr:row>
      <xdr:rowOff>176212</xdr:rowOff>
    </xdr:from>
    <xdr:to>
      <xdr:col>14</xdr:col>
      <xdr:colOff>57149</xdr:colOff>
      <xdr:row>45</xdr:row>
      <xdr:rowOff>61912</xdr:rowOff>
    </xdr:to>
    <xdr:graphicFrame macro="">
      <xdr:nvGraphicFramePr>
        <xdr:cNvPr id="5" name="Chart 4">
          <a:extLst>
            <a:ext uri="{FF2B5EF4-FFF2-40B4-BE49-F238E27FC236}">
              <a16:creationId xmlns:a16="http://schemas.microsoft.com/office/drawing/2014/main" id="{30825F78-3E93-A99D-BF7A-976FEB51B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15</xdr:col>
      <xdr:colOff>0</xdr:colOff>
      <xdr:row>2</xdr:row>
      <xdr:rowOff>0</xdr:rowOff>
    </xdr:from>
    <xdr:to>
      <xdr:col>18</xdr:col>
      <xdr:colOff>0</xdr:colOff>
      <xdr:row>16</xdr:row>
      <xdr:rowOff>0</xdr:rowOff>
    </xdr:to>
    <mc:AlternateContent xmlns:mc="http://schemas.openxmlformats.org/markup-compatibility/2006" xmlns:sle15="http://schemas.microsoft.com/office/drawing/2012/slicer">
      <mc:Choice Requires="sle15">
        <xdr:graphicFrame macro="">
          <xdr:nvGraphicFramePr>
            <xdr:cNvPr id="6" name="Sales Person 1">
              <a:extLst>
                <a:ext uri="{FF2B5EF4-FFF2-40B4-BE49-F238E27FC236}">
                  <a16:creationId xmlns:a16="http://schemas.microsoft.com/office/drawing/2014/main" id="{4DE4DB3A-668B-4F82-8BD2-59103B6EB168}"/>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12525375" y="381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342900</xdr:colOff>
      <xdr:row>18</xdr:row>
      <xdr:rowOff>0</xdr:rowOff>
    </xdr:from>
    <xdr:to>
      <xdr:col>20</xdr:col>
      <xdr:colOff>342900</xdr:colOff>
      <xdr:row>23</xdr:row>
      <xdr:rowOff>9525</xdr:rowOff>
    </xdr:to>
    <mc:AlternateContent xmlns:mc="http://schemas.openxmlformats.org/markup-compatibility/2006" xmlns:sle15="http://schemas.microsoft.com/office/drawing/2012/slicer">
      <mc:Choice Requires="sle15">
        <xdr:graphicFrame macro="">
          <xdr:nvGraphicFramePr>
            <xdr:cNvPr id="8" name="Region 1">
              <a:extLst>
                <a:ext uri="{FF2B5EF4-FFF2-40B4-BE49-F238E27FC236}">
                  <a16:creationId xmlns:a16="http://schemas.microsoft.com/office/drawing/2014/main" id="{1E1F1AEB-AC0E-46EF-8262-F1C9CCFEC6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087475" y="3429000"/>
              <a:ext cx="1828800" cy="9620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8</xdr:col>
      <xdr:colOff>219075</xdr:colOff>
      <xdr:row>4</xdr:row>
      <xdr:rowOff>142875</xdr:rowOff>
    </xdr:from>
    <xdr:to>
      <xdr:col>9</xdr:col>
      <xdr:colOff>1152525</xdr:colOff>
      <xdr:row>18</xdr:row>
      <xdr:rowOff>142875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545A5F5D-6F77-86A0-183B-D4FBA3B1A7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10375" y="9048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390524</xdr:colOff>
      <xdr:row>0</xdr:row>
      <xdr:rowOff>66675</xdr:rowOff>
    </xdr:from>
    <xdr:to>
      <xdr:col>21</xdr:col>
      <xdr:colOff>252470</xdr:colOff>
      <xdr:row>5</xdr:row>
      <xdr:rowOff>28575</xdr:rowOff>
    </xdr:to>
    <xdr:grpSp>
      <xdr:nvGrpSpPr>
        <xdr:cNvPr id="7" name="Group 6">
          <a:extLst>
            <a:ext uri="{FF2B5EF4-FFF2-40B4-BE49-F238E27FC236}">
              <a16:creationId xmlns:a16="http://schemas.microsoft.com/office/drawing/2014/main" id="{1E81426C-70F3-FD72-CB39-2906184C965D}"/>
            </a:ext>
          </a:extLst>
        </xdr:cNvPr>
        <xdr:cNvGrpSpPr/>
      </xdr:nvGrpSpPr>
      <xdr:grpSpPr>
        <a:xfrm>
          <a:off x="390524" y="66675"/>
          <a:ext cx="12590810" cy="914400"/>
          <a:chOff x="390525" y="66675"/>
          <a:chExt cx="8953500" cy="914400"/>
        </a:xfrm>
      </xdr:grpSpPr>
      <xdr:sp macro="" textlink="">
        <xdr:nvSpPr>
          <xdr:cNvPr id="2" name="Rectangle: Rounded Corners 1">
            <a:extLst>
              <a:ext uri="{FF2B5EF4-FFF2-40B4-BE49-F238E27FC236}">
                <a16:creationId xmlns:a16="http://schemas.microsoft.com/office/drawing/2014/main" id="{4AC3A4D8-4094-2720-CCC4-22D42021D520}"/>
              </a:ext>
            </a:extLst>
          </xdr:cNvPr>
          <xdr:cNvSpPr/>
        </xdr:nvSpPr>
        <xdr:spPr>
          <a:xfrm>
            <a:off x="390525" y="66675"/>
            <a:ext cx="8953500" cy="914400"/>
          </a:xfrm>
          <a:prstGeom prst="round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r>
              <a:rPr lang="en-IN" sz="40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SALES</a:t>
            </a:r>
            <a:r>
              <a:rPr lang="en-IN" sz="4000">
                <a:latin typeface="Cambria" panose="02040503050406030204" pitchFamily="18" charset="0"/>
                <a:ea typeface="Cambria" panose="02040503050406030204" pitchFamily="18" charset="0"/>
              </a:rPr>
              <a:t> </a:t>
            </a:r>
            <a:r>
              <a:rPr lang="en-IN" sz="40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DASHBOARD - 2026</a:t>
            </a:r>
            <a:endParaRPr lang="en-IN" sz="4000">
              <a:latin typeface="Cambria" panose="02040503050406030204" pitchFamily="18" charset="0"/>
              <a:ea typeface="Cambria" panose="02040503050406030204" pitchFamily="18" charset="0"/>
            </a:endParaRPr>
          </a:p>
        </xdr:txBody>
      </xdr:sp>
      <xdr:pic>
        <xdr:nvPicPr>
          <xdr:cNvPr id="4" name="Graphic 3" descr="Bar graph with upward trend">
            <a:extLst>
              <a:ext uri="{FF2B5EF4-FFF2-40B4-BE49-F238E27FC236}">
                <a16:creationId xmlns:a16="http://schemas.microsoft.com/office/drawing/2014/main" id="{49BCB43F-9637-2AF7-86E4-F507B42D177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0621" y="142875"/>
            <a:ext cx="733425" cy="733425"/>
          </a:xfrm>
          <a:prstGeom prst="rect">
            <a:avLst/>
          </a:prstGeom>
        </xdr:spPr>
      </xdr:pic>
      <xdr:pic>
        <xdr:nvPicPr>
          <xdr:cNvPr id="6" name="Graphic 5" descr="Bar graph with upward trend RTL">
            <a:extLst>
              <a:ext uri="{FF2B5EF4-FFF2-40B4-BE49-F238E27FC236}">
                <a16:creationId xmlns:a16="http://schemas.microsoft.com/office/drawing/2014/main" id="{97FD262D-F3D7-D4DE-DEC8-C5AE555BF2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24968" y="100259"/>
            <a:ext cx="847725" cy="847725"/>
          </a:xfrm>
          <a:prstGeom prst="rect">
            <a:avLst/>
          </a:prstGeom>
        </xdr:spPr>
      </xdr:pic>
    </xdr:grpSp>
    <xdr:clientData/>
  </xdr:twoCellAnchor>
  <xdr:twoCellAnchor>
    <xdr:from>
      <xdr:col>0</xdr:col>
      <xdr:colOff>390525</xdr:colOff>
      <xdr:row>6</xdr:row>
      <xdr:rowOff>9525</xdr:rowOff>
    </xdr:from>
    <xdr:to>
      <xdr:col>4</xdr:col>
      <xdr:colOff>75980</xdr:colOff>
      <xdr:row>11</xdr:row>
      <xdr:rowOff>0</xdr:rowOff>
    </xdr:to>
    <xdr:grpSp>
      <xdr:nvGrpSpPr>
        <xdr:cNvPr id="14" name="Group 13">
          <a:extLst>
            <a:ext uri="{FF2B5EF4-FFF2-40B4-BE49-F238E27FC236}">
              <a16:creationId xmlns:a16="http://schemas.microsoft.com/office/drawing/2014/main" id="{51B409A1-8000-E97A-526D-B9DF1A797611}"/>
            </a:ext>
          </a:extLst>
        </xdr:cNvPr>
        <xdr:cNvGrpSpPr/>
      </xdr:nvGrpSpPr>
      <xdr:grpSpPr>
        <a:xfrm>
          <a:off x="390525" y="1152525"/>
          <a:ext cx="2110000" cy="942975"/>
          <a:chOff x="409575" y="1076325"/>
          <a:chExt cx="1952625" cy="847725"/>
        </a:xfrm>
      </xdr:grpSpPr>
      <xdr:grpSp>
        <xdr:nvGrpSpPr>
          <xdr:cNvPr id="12" name="Group 11">
            <a:extLst>
              <a:ext uri="{FF2B5EF4-FFF2-40B4-BE49-F238E27FC236}">
                <a16:creationId xmlns:a16="http://schemas.microsoft.com/office/drawing/2014/main" id="{14757735-B9EB-73FB-4D24-701FECFC52B7}"/>
              </a:ext>
            </a:extLst>
          </xdr:cNvPr>
          <xdr:cNvGrpSpPr/>
        </xdr:nvGrpSpPr>
        <xdr:grpSpPr>
          <a:xfrm>
            <a:off x="409575" y="1076325"/>
            <a:ext cx="1952625" cy="847725"/>
            <a:chOff x="409575" y="1076325"/>
            <a:chExt cx="1952625" cy="847725"/>
          </a:xfrm>
        </xdr:grpSpPr>
        <xdr:sp macro="" textlink="">
          <xdr:nvSpPr>
            <xdr:cNvPr id="8" name="Rectangle: Rounded Corners 7">
              <a:extLst>
                <a:ext uri="{FF2B5EF4-FFF2-40B4-BE49-F238E27FC236}">
                  <a16:creationId xmlns:a16="http://schemas.microsoft.com/office/drawing/2014/main" id="{052B4DDE-4389-480F-BAFF-5BA4FE3205E0}"/>
                </a:ext>
              </a:extLst>
            </xdr:cNvPr>
            <xdr:cNvSpPr/>
          </xdr:nvSpPr>
          <xdr:spPr>
            <a:xfrm>
              <a:off x="409575" y="1076325"/>
              <a:ext cx="1952625" cy="847725"/>
            </a:xfrm>
            <a:prstGeom prst="round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Cambria" panose="02040503050406030204" pitchFamily="18" charset="0"/>
                  <a:ea typeface="Cambria" panose="02040503050406030204" pitchFamily="18" charset="0"/>
                </a:rPr>
                <a:t>                   </a:t>
              </a:r>
              <a:r>
                <a:rPr lang="en-IN" sz="1800" baseline="0">
                  <a:latin typeface="Cambria" panose="02040503050406030204" pitchFamily="18" charset="0"/>
                  <a:ea typeface="Cambria" panose="02040503050406030204" pitchFamily="18" charset="0"/>
                </a:rPr>
                <a:t>                sales</a:t>
              </a:r>
              <a:r>
                <a:rPr lang="en-IN" sz="1800">
                  <a:latin typeface="Cambria" panose="02040503050406030204" pitchFamily="18" charset="0"/>
                  <a:ea typeface="Cambria" panose="02040503050406030204" pitchFamily="18" charset="0"/>
                </a:rPr>
                <a:t>          </a:t>
              </a:r>
            </a:p>
          </xdr:txBody>
        </xdr:sp>
        <xdr:sp macro="" textlink="">
          <xdr:nvSpPr>
            <xdr:cNvPr id="9" name="Rectangle: Rounded Corners 8">
              <a:extLst>
                <a:ext uri="{FF2B5EF4-FFF2-40B4-BE49-F238E27FC236}">
                  <a16:creationId xmlns:a16="http://schemas.microsoft.com/office/drawing/2014/main" id="{8DE9A880-9CE0-47B1-878D-3B385779FEA5}"/>
                </a:ext>
              </a:extLst>
            </xdr:cNvPr>
            <xdr:cNvSpPr/>
          </xdr:nvSpPr>
          <xdr:spPr>
            <a:xfrm>
              <a:off x="419100" y="1076325"/>
              <a:ext cx="733425" cy="847725"/>
            </a:xfrm>
            <a:prstGeom prst="roundRect">
              <a:avLst/>
            </a:prstGeom>
            <a:gradFill>
              <a:gsLst>
                <a:gs pos="50000">
                  <a:srgbClr val="65CCD7"/>
                </a:gs>
                <a:gs pos="0">
                  <a:srgbClr val="00B0F0"/>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sp macro="" textlink="">
          <xdr:nvSpPr>
            <xdr:cNvPr id="10" name="TextBox 9">
              <a:extLst>
                <a:ext uri="{FF2B5EF4-FFF2-40B4-BE49-F238E27FC236}">
                  <a16:creationId xmlns:a16="http://schemas.microsoft.com/office/drawing/2014/main" id="{47F79774-543F-CE52-7699-BE967551E919}"/>
                </a:ext>
              </a:extLst>
            </xdr:cNvPr>
            <xdr:cNvSpPr txBox="1"/>
          </xdr:nvSpPr>
          <xdr:spPr>
            <a:xfrm>
              <a:off x="1316296" y="1190625"/>
              <a:ext cx="1013226" cy="302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latin typeface="Cambria" panose="02040503050406030204" pitchFamily="18" charset="0"/>
                  <a:ea typeface="Cambria" panose="02040503050406030204" pitchFamily="18" charset="0"/>
                </a:rPr>
                <a:t>Total Sales</a:t>
              </a:r>
            </a:p>
          </xdr:txBody>
        </xdr:sp>
        <xdr:sp macro="" textlink="SalesData!L2">
          <xdr:nvSpPr>
            <xdr:cNvPr id="11" name="TextBox 10">
              <a:extLst>
                <a:ext uri="{FF2B5EF4-FFF2-40B4-BE49-F238E27FC236}">
                  <a16:creationId xmlns:a16="http://schemas.microsoft.com/office/drawing/2014/main" id="{D7C068BC-C8B3-89DA-50AC-BC24A78ED6D3}"/>
                </a:ext>
              </a:extLst>
            </xdr:cNvPr>
            <xdr:cNvSpPr txBox="1"/>
          </xdr:nvSpPr>
          <xdr:spPr>
            <a:xfrm>
              <a:off x="1247775" y="1485900"/>
              <a:ext cx="1032814" cy="2378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7375414-F64D-434F-AFF7-677DDEBF9FE5}" type="TxLink">
                <a:rPr lang="en-US" sz="1100" b="0" i="0" u="none" strike="noStrike">
                  <a:solidFill>
                    <a:srgbClr val="000000"/>
                  </a:solidFill>
                  <a:latin typeface="Aptos Narrow"/>
                </a:rPr>
                <a:pPr/>
                <a:t> Rs. 1,29,44,500 </a:t>
              </a:fld>
              <a:endParaRPr lang="en-IN" sz="1100"/>
            </a:p>
          </xdr:txBody>
        </xdr:sp>
      </xdr:grpSp>
      <xdr:sp macro="" textlink="">
        <xdr:nvSpPr>
          <xdr:cNvPr id="13" name="Rectangle: Rounded Corners 12">
            <a:extLst>
              <a:ext uri="{FF2B5EF4-FFF2-40B4-BE49-F238E27FC236}">
                <a16:creationId xmlns:a16="http://schemas.microsoft.com/office/drawing/2014/main" id="{441F5962-DEC4-4C86-AEB1-79CEB550BC87}"/>
              </a:ext>
            </a:extLst>
          </xdr:cNvPr>
          <xdr:cNvSpPr/>
        </xdr:nvSpPr>
        <xdr:spPr>
          <a:xfrm>
            <a:off x="409575" y="1076325"/>
            <a:ext cx="733425" cy="847725"/>
          </a:xfrm>
          <a:prstGeom prst="roundRect">
            <a:avLst/>
          </a:prstGeom>
          <a:gradFill>
            <a:gsLst>
              <a:gs pos="50000">
                <a:srgbClr val="65CCD7"/>
              </a:gs>
              <a:gs pos="0">
                <a:srgbClr val="00B0F0"/>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grpSp>
    <xdr:clientData/>
  </xdr:twoCellAnchor>
  <xdr:twoCellAnchor>
    <xdr:from>
      <xdr:col>4</xdr:col>
      <xdr:colOff>133350</xdr:colOff>
      <xdr:row>6</xdr:row>
      <xdr:rowOff>19050</xdr:rowOff>
    </xdr:from>
    <xdr:to>
      <xdr:col>7</xdr:col>
      <xdr:colOff>495300</xdr:colOff>
      <xdr:row>10</xdr:row>
      <xdr:rowOff>180975</xdr:rowOff>
    </xdr:to>
    <xdr:grpSp>
      <xdr:nvGrpSpPr>
        <xdr:cNvPr id="16" name="Group 15">
          <a:extLst>
            <a:ext uri="{FF2B5EF4-FFF2-40B4-BE49-F238E27FC236}">
              <a16:creationId xmlns:a16="http://schemas.microsoft.com/office/drawing/2014/main" id="{88C7C094-2464-4719-BC0C-AFCA1042841F}"/>
            </a:ext>
          </a:extLst>
        </xdr:cNvPr>
        <xdr:cNvGrpSpPr/>
      </xdr:nvGrpSpPr>
      <xdr:grpSpPr>
        <a:xfrm>
          <a:off x="2557895" y="1162050"/>
          <a:ext cx="2180360" cy="923925"/>
          <a:chOff x="409575" y="1076325"/>
          <a:chExt cx="1976009" cy="847725"/>
        </a:xfrm>
      </xdr:grpSpPr>
      <xdr:grpSp>
        <xdr:nvGrpSpPr>
          <xdr:cNvPr id="17" name="Group 16">
            <a:extLst>
              <a:ext uri="{FF2B5EF4-FFF2-40B4-BE49-F238E27FC236}">
                <a16:creationId xmlns:a16="http://schemas.microsoft.com/office/drawing/2014/main" id="{332FE5B9-1650-7550-1C18-B3E9B238697D}"/>
              </a:ext>
            </a:extLst>
          </xdr:cNvPr>
          <xdr:cNvGrpSpPr/>
        </xdr:nvGrpSpPr>
        <xdr:grpSpPr>
          <a:xfrm>
            <a:off x="409575" y="1076325"/>
            <a:ext cx="1976009" cy="847725"/>
            <a:chOff x="409575" y="1076325"/>
            <a:chExt cx="1976009" cy="847725"/>
          </a:xfrm>
        </xdr:grpSpPr>
        <xdr:sp macro="" textlink="">
          <xdr:nvSpPr>
            <xdr:cNvPr id="19" name="Rectangle: Rounded Corners 18">
              <a:extLst>
                <a:ext uri="{FF2B5EF4-FFF2-40B4-BE49-F238E27FC236}">
                  <a16:creationId xmlns:a16="http://schemas.microsoft.com/office/drawing/2014/main" id="{21234341-A266-4B5F-1B7E-A92D34B28950}"/>
                </a:ext>
              </a:extLst>
            </xdr:cNvPr>
            <xdr:cNvSpPr/>
          </xdr:nvSpPr>
          <xdr:spPr>
            <a:xfrm>
              <a:off x="409575" y="1076325"/>
              <a:ext cx="1952625" cy="847725"/>
            </a:xfrm>
            <a:prstGeom prst="round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Cambria" panose="02040503050406030204" pitchFamily="18" charset="0"/>
                  <a:ea typeface="Cambria" panose="02040503050406030204" pitchFamily="18" charset="0"/>
                </a:rPr>
                <a:t>                   </a:t>
              </a:r>
              <a:r>
                <a:rPr lang="en-IN" sz="1800" baseline="0">
                  <a:latin typeface="Cambria" panose="02040503050406030204" pitchFamily="18" charset="0"/>
                  <a:ea typeface="Cambria" panose="02040503050406030204" pitchFamily="18" charset="0"/>
                </a:rPr>
                <a:t>                sales</a:t>
              </a:r>
              <a:r>
                <a:rPr lang="en-IN" sz="1800">
                  <a:latin typeface="Cambria" panose="02040503050406030204" pitchFamily="18" charset="0"/>
                  <a:ea typeface="Cambria" panose="02040503050406030204" pitchFamily="18" charset="0"/>
                </a:rPr>
                <a:t>          </a:t>
              </a:r>
            </a:p>
          </xdr:txBody>
        </xdr:sp>
        <xdr:sp macro="" textlink="">
          <xdr:nvSpPr>
            <xdr:cNvPr id="20" name="Rectangle: Rounded Corners 19">
              <a:extLst>
                <a:ext uri="{FF2B5EF4-FFF2-40B4-BE49-F238E27FC236}">
                  <a16:creationId xmlns:a16="http://schemas.microsoft.com/office/drawing/2014/main" id="{C041E963-BE33-4C23-23FB-721B7D3AD010}"/>
                </a:ext>
              </a:extLst>
            </xdr:cNvPr>
            <xdr:cNvSpPr/>
          </xdr:nvSpPr>
          <xdr:spPr>
            <a:xfrm>
              <a:off x="419100" y="1076325"/>
              <a:ext cx="733425" cy="847725"/>
            </a:xfrm>
            <a:prstGeom prst="roundRect">
              <a:avLst/>
            </a:prstGeom>
            <a:gradFill>
              <a:gsLst>
                <a:gs pos="50000">
                  <a:srgbClr val="65CCD7"/>
                </a:gs>
                <a:gs pos="0">
                  <a:srgbClr val="00B0F0"/>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sp macro="" textlink="">
          <xdr:nvSpPr>
            <xdr:cNvPr id="21" name="TextBox 20">
              <a:extLst>
                <a:ext uri="{FF2B5EF4-FFF2-40B4-BE49-F238E27FC236}">
                  <a16:creationId xmlns:a16="http://schemas.microsoft.com/office/drawing/2014/main" id="{DCF34BC5-C248-9685-EC41-98273D29E2A4}"/>
                </a:ext>
              </a:extLst>
            </xdr:cNvPr>
            <xdr:cNvSpPr txBox="1"/>
          </xdr:nvSpPr>
          <xdr:spPr>
            <a:xfrm>
              <a:off x="1143000" y="1152525"/>
              <a:ext cx="1242584" cy="302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latin typeface="Cambria" panose="02040503050406030204" pitchFamily="18" charset="0"/>
                  <a:ea typeface="Cambria" panose="02040503050406030204" pitchFamily="18" charset="0"/>
                </a:rPr>
                <a:t>Average</a:t>
              </a:r>
              <a:r>
                <a:rPr lang="en-IN" sz="1400" baseline="0">
                  <a:latin typeface="Cambria" panose="02040503050406030204" pitchFamily="18" charset="0"/>
                  <a:ea typeface="Cambria" panose="02040503050406030204" pitchFamily="18" charset="0"/>
                </a:rPr>
                <a:t> Sales</a:t>
              </a:r>
              <a:endParaRPr lang="en-IN" sz="1400">
                <a:latin typeface="Cambria" panose="02040503050406030204" pitchFamily="18" charset="0"/>
                <a:ea typeface="Cambria" panose="02040503050406030204" pitchFamily="18" charset="0"/>
              </a:endParaRPr>
            </a:p>
          </xdr:txBody>
        </xdr:sp>
        <xdr:sp macro="" textlink="SalesData!L14">
          <xdr:nvSpPr>
            <xdr:cNvPr id="22" name="TextBox 21">
              <a:extLst>
                <a:ext uri="{FF2B5EF4-FFF2-40B4-BE49-F238E27FC236}">
                  <a16:creationId xmlns:a16="http://schemas.microsoft.com/office/drawing/2014/main" id="{B2E872C7-9008-8195-4447-34F237D76EAB}"/>
                </a:ext>
              </a:extLst>
            </xdr:cNvPr>
            <xdr:cNvSpPr txBox="1"/>
          </xdr:nvSpPr>
          <xdr:spPr>
            <a:xfrm>
              <a:off x="1247775" y="1485900"/>
              <a:ext cx="851157" cy="242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9A18254-99D6-4E80-9F3E-63D3347C5AEB}" type="TxLink">
                <a:rPr lang="en-US" sz="1100" b="0" i="0" u="none" strike="noStrike">
                  <a:solidFill>
                    <a:srgbClr val="000000"/>
                  </a:solidFill>
                  <a:latin typeface="Aptos Narrow"/>
                </a:rPr>
                <a:pPr/>
                <a:t> Rs. 2,58,890 </a:t>
              </a:fld>
              <a:endParaRPr lang="en-IN" sz="1100"/>
            </a:p>
          </xdr:txBody>
        </xdr:sp>
      </xdr:grpSp>
      <xdr:sp macro="" textlink="">
        <xdr:nvSpPr>
          <xdr:cNvPr id="18" name="Rectangle: Rounded Corners 17">
            <a:extLst>
              <a:ext uri="{FF2B5EF4-FFF2-40B4-BE49-F238E27FC236}">
                <a16:creationId xmlns:a16="http://schemas.microsoft.com/office/drawing/2014/main" id="{63A671C0-1F26-2836-8498-4EA90779B160}"/>
              </a:ext>
            </a:extLst>
          </xdr:cNvPr>
          <xdr:cNvSpPr/>
        </xdr:nvSpPr>
        <xdr:spPr>
          <a:xfrm>
            <a:off x="409575" y="1076325"/>
            <a:ext cx="733425" cy="847725"/>
          </a:xfrm>
          <a:prstGeom prst="roundRect">
            <a:avLst/>
          </a:prstGeom>
          <a:gradFill>
            <a:gsLst>
              <a:gs pos="50000">
                <a:srgbClr val="65CCD7"/>
              </a:gs>
              <a:gs pos="0">
                <a:srgbClr val="00B0F0"/>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grpSp>
    <xdr:clientData/>
  </xdr:twoCellAnchor>
  <xdr:twoCellAnchor>
    <xdr:from>
      <xdr:col>7</xdr:col>
      <xdr:colOff>533401</xdr:colOff>
      <xdr:row>6</xdr:row>
      <xdr:rowOff>28575</xdr:rowOff>
    </xdr:from>
    <xdr:to>
      <xdr:col>11</xdr:col>
      <xdr:colOff>371475</xdr:colOff>
      <xdr:row>11</xdr:row>
      <xdr:rowOff>0</xdr:rowOff>
    </xdr:to>
    <xdr:grpSp>
      <xdr:nvGrpSpPr>
        <xdr:cNvPr id="23" name="Group 22">
          <a:extLst>
            <a:ext uri="{FF2B5EF4-FFF2-40B4-BE49-F238E27FC236}">
              <a16:creationId xmlns:a16="http://schemas.microsoft.com/office/drawing/2014/main" id="{B0E234AB-61F1-4226-BDE9-01BC79928C30}"/>
            </a:ext>
          </a:extLst>
        </xdr:cNvPr>
        <xdr:cNvGrpSpPr/>
      </xdr:nvGrpSpPr>
      <xdr:grpSpPr>
        <a:xfrm>
          <a:off x="4776356" y="1171575"/>
          <a:ext cx="2262619" cy="923925"/>
          <a:chOff x="409575" y="1076325"/>
          <a:chExt cx="1952625" cy="847725"/>
        </a:xfrm>
      </xdr:grpSpPr>
      <xdr:grpSp>
        <xdr:nvGrpSpPr>
          <xdr:cNvPr id="24" name="Group 23">
            <a:extLst>
              <a:ext uri="{FF2B5EF4-FFF2-40B4-BE49-F238E27FC236}">
                <a16:creationId xmlns:a16="http://schemas.microsoft.com/office/drawing/2014/main" id="{CBFF982A-927B-26B7-59EF-2EC726D19D1C}"/>
              </a:ext>
            </a:extLst>
          </xdr:cNvPr>
          <xdr:cNvGrpSpPr/>
        </xdr:nvGrpSpPr>
        <xdr:grpSpPr>
          <a:xfrm>
            <a:off x="409575" y="1076325"/>
            <a:ext cx="1952625" cy="847725"/>
            <a:chOff x="409575" y="1076325"/>
            <a:chExt cx="1952625" cy="847725"/>
          </a:xfrm>
        </xdr:grpSpPr>
        <xdr:sp macro="" textlink="">
          <xdr:nvSpPr>
            <xdr:cNvPr id="26" name="Rectangle: Rounded Corners 25">
              <a:extLst>
                <a:ext uri="{FF2B5EF4-FFF2-40B4-BE49-F238E27FC236}">
                  <a16:creationId xmlns:a16="http://schemas.microsoft.com/office/drawing/2014/main" id="{3E3093FA-821D-8DD0-FA20-43956CC08AAF}"/>
                </a:ext>
              </a:extLst>
            </xdr:cNvPr>
            <xdr:cNvSpPr/>
          </xdr:nvSpPr>
          <xdr:spPr>
            <a:xfrm>
              <a:off x="409575" y="1076325"/>
              <a:ext cx="1952625" cy="847725"/>
            </a:xfrm>
            <a:prstGeom prst="round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Cambria" panose="02040503050406030204" pitchFamily="18" charset="0"/>
                  <a:ea typeface="Cambria" panose="02040503050406030204" pitchFamily="18" charset="0"/>
                </a:rPr>
                <a:t>                   </a:t>
              </a:r>
              <a:r>
                <a:rPr lang="en-IN" sz="1800" baseline="0">
                  <a:latin typeface="Cambria" panose="02040503050406030204" pitchFamily="18" charset="0"/>
                  <a:ea typeface="Cambria" panose="02040503050406030204" pitchFamily="18" charset="0"/>
                </a:rPr>
                <a:t>                sales</a:t>
              </a:r>
              <a:r>
                <a:rPr lang="en-IN" sz="1800">
                  <a:latin typeface="Cambria" panose="02040503050406030204" pitchFamily="18" charset="0"/>
                  <a:ea typeface="Cambria" panose="02040503050406030204" pitchFamily="18" charset="0"/>
                </a:rPr>
                <a:t>          </a:t>
              </a:r>
            </a:p>
          </xdr:txBody>
        </xdr:sp>
        <xdr:sp macro="" textlink="">
          <xdr:nvSpPr>
            <xdr:cNvPr id="27" name="Rectangle: Rounded Corners 26">
              <a:extLst>
                <a:ext uri="{FF2B5EF4-FFF2-40B4-BE49-F238E27FC236}">
                  <a16:creationId xmlns:a16="http://schemas.microsoft.com/office/drawing/2014/main" id="{BB19B754-BAC8-2238-1A4B-E0E90C99D729}"/>
                </a:ext>
              </a:extLst>
            </xdr:cNvPr>
            <xdr:cNvSpPr/>
          </xdr:nvSpPr>
          <xdr:spPr>
            <a:xfrm>
              <a:off x="419100" y="1076325"/>
              <a:ext cx="733425" cy="847725"/>
            </a:xfrm>
            <a:prstGeom prst="roundRect">
              <a:avLst/>
            </a:prstGeom>
            <a:gradFill>
              <a:gsLst>
                <a:gs pos="50000">
                  <a:srgbClr val="65CCD7"/>
                </a:gs>
                <a:gs pos="0">
                  <a:srgbClr val="00B0F0"/>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sp macro="" textlink="">
          <xdr:nvSpPr>
            <xdr:cNvPr id="28" name="TextBox 27">
              <a:extLst>
                <a:ext uri="{FF2B5EF4-FFF2-40B4-BE49-F238E27FC236}">
                  <a16:creationId xmlns:a16="http://schemas.microsoft.com/office/drawing/2014/main" id="{FABD0977-BA57-4D72-DDDD-C8701F7A8EE4}"/>
                </a:ext>
              </a:extLst>
            </xdr:cNvPr>
            <xdr:cNvSpPr txBox="1"/>
          </xdr:nvSpPr>
          <xdr:spPr>
            <a:xfrm>
              <a:off x="1343025" y="1152525"/>
              <a:ext cx="884025" cy="302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latin typeface="Cambria" panose="02040503050406030204" pitchFamily="18" charset="0"/>
                  <a:ea typeface="Cambria" panose="02040503050406030204" pitchFamily="18" charset="0"/>
                </a:rPr>
                <a:t>Unit</a:t>
              </a:r>
              <a:r>
                <a:rPr lang="en-IN" sz="1400" baseline="0">
                  <a:latin typeface="Cambria" panose="02040503050406030204" pitchFamily="18" charset="0"/>
                  <a:ea typeface="Cambria" panose="02040503050406030204" pitchFamily="18" charset="0"/>
                </a:rPr>
                <a:t> Sold</a:t>
              </a:r>
              <a:endParaRPr lang="en-IN" sz="1400">
                <a:latin typeface="Cambria" panose="02040503050406030204" pitchFamily="18" charset="0"/>
                <a:ea typeface="Cambria" panose="02040503050406030204" pitchFamily="18" charset="0"/>
              </a:endParaRPr>
            </a:p>
          </xdr:txBody>
        </xdr:sp>
        <xdr:sp macro="" textlink="SalesData!L6">
          <xdr:nvSpPr>
            <xdr:cNvPr id="29" name="TextBox 28">
              <a:extLst>
                <a:ext uri="{FF2B5EF4-FFF2-40B4-BE49-F238E27FC236}">
                  <a16:creationId xmlns:a16="http://schemas.microsoft.com/office/drawing/2014/main" id="{E6EDB4DB-B226-D662-D9CA-1B4FC89CBBE9}"/>
                </a:ext>
              </a:extLst>
            </xdr:cNvPr>
            <xdr:cNvSpPr txBox="1"/>
          </xdr:nvSpPr>
          <xdr:spPr>
            <a:xfrm>
              <a:off x="1543050" y="1476375"/>
              <a:ext cx="403689" cy="242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66C9410-F5AC-4DE4-8B36-C11E30338E73}" type="TxLink">
                <a:rPr lang="en-US" sz="1100" b="0" i="0" u="none" strike="noStrike">
                  <a:solidFill>
                    <a:srgbClr val="000000"/>
                  </a:solidFill>
                  <a:latin typeface="Aptos Narrow"/>
                </a:rPr>
                <a:pPr/>
                <a:t>4705</a:t>
              </a:fld>
              <a:endParaRPr lang="en-IN" sz="1100"/>
            </a:p>
          </xdr:txBody>
        </xdr:sp>
      </xdr:grpSp>
      <xdr:sp macro="" textlink="">
        <xdr:nvSpPr>
          <xdr:cNvPr id="25" name="Rectangle: Rounded Corners 24">
            <a:extLst>
              <a:ext uri="{FF2B5EF4-FFF2-40B4-BE49-F238E27FC236}">
                <a16:creationId xmlns:a16="http://schemas.microsoft.com/office/drawing/2014/main" id="{EA9BE5AB-A0E4-D8DE-63B4-0A3F4B0422FC}"/>
              </a:ext>
            </a:extLst>
          </xdr:cNvPr>
          <xdr:cNvSpPr/>
        </xdr:nvSpPr>
        <xdr:spPr>
          <a:xfrm>
            <a:off x="409575" y="1076325"/>
            <a:ext cx="733425" cy="847725"/>
          </a:xfrm>
          <a:prstGeom prst="roundRect">
            <a:avLst/>
          </a:prstGeom>
          <a:gradFill>
            <a:gsLst>
              <a:gs pos="50000">
                <a:srgbClr val="65CCD7"/>
              </a:gs>
              <a:gs pos="0">
                <a:srgbClr val="00B0F0"/>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grpSp>
    <xdr:clientData/>
  </xdr:twoCellAnchor>
  <xdr:twoCellAnchor>
    <xdr:from>
      <xdr:col>11</xdr:col>
      <xdr:colOff>447675</xdr:colOff>
      <xdr:row>6</xdr:row>
      <xdr:rowOff>19050</xdr:rowOff>
    </xdr:from>
    <xdr:to>
      <xdr:col>15</xdr:col>
      <xdr:colOff>266701</xdr:colOff>
      <xdr:row>10</xdr:row>
      <xdr:rowOff>180975</xdr:rowOff>
    </xdr:to>
    <xdr:grpSp>
      <xdr:nvGrpSpPr>
        <xdr:cNvPr id="30" name="Group 29">
          <a:extLst>
            <a:ext uri="{FF2B5EF4-FFF2-40B4-BE49-F238E27FC236}">
              <a16:creationId xmlns:a16="http://schemas.microsoft.com/office/drawing/2014/main" id="{7AEA7EC1-5977-49F0-B1FA-3EC71B1D3332}"/>
            </a:ext>
          </a:extLst>
        </xdr:cNvPr>
        <xdr:cNvGrpSpPr/>
      </xdr:nvGrpSpPr>
      <xdr:grpSpPr>
        <a:xfrm>
          <a:off x="7115175" y="1162050"/>
          <a:ext cx="2243571" cy="923925"/>
          <a:chOff x="409575" y="1076325"/>
          <a:chExt cx="1952625" cy="847725"/>
        </a:xfrm>
      </xdr:grpSpPr>
      <xdr:grpSp>
        <xdr:nvGrpSpPr>
          <xdr:cNvPr id="31" name="Group 30">
            <a:extLst>
              <a:ext uri="{FF2B5EF4-FFF2-40B4-BE49-F238E27FC236}">
                <a16:creationId xmlns:a16="http://schemas.microsoft.com/office/drawing/2014/main" id="{8581F26C-7097-5BFE-A709-D5381EE68EEA}"/>
              </a:ext>
            </a:extLst>
          </xdr:cNvPr>
          <xdr:cNvGrpSpPr/>
        </xdr:nvGrpSpPr>
        <xdr:grpSpPr>
          <a:xfrm>
            <a:off x="409575" y="1076325"/>
            <a:ext cx="1952625" cy="847725"/>
            <a:chOff x="409575" y="1076325"/>
            <a:chExt cx="1952625" cy="847725"/>
          </a:xfrm>
        </xdr:grpSpPr>
        <xdr:sp macro="" textlink="">
          <xdr:nvSpPr>
            <xdr:cNvPr id="33" name="Rectangle: Rounded Corners 32">
              <a:extLst>
                <a:ext uri="{FF2B5EF4-FFF2-40B4-BE49-F238E27FC236}">
                  <a16:creationId xmlns:a16="http://schemas.microsoft.com/office/drawing/2014/main" id="{8D143686-3556-54A0-BC8E-524DDF88F2E0}"/>
                </a:ext>
              </a:extLst>
            </xdr:cNvPr>
            <xdr:cNvSpPr/>
          </xdr:nvSpPr>
          <xdr:spPr>
            <a:xfrm>
              <a:off x="409575" y="1076325"/>
              <a:ext cx="1952625" cy="847725"/>
            </a:xfrm>
            <a:prstGeom prst="round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Cambria" panose="02040503050406030204" pitchFamily="18" charset="0"/>
                  <a:ea typeface="Cambria" panose="02040503050406030204" pitchFamily="18" charset="0"/>
                </a:rPr>
                <a:t>                   </a:t>
              </a:r>
              <a:r>
                <a:rPr lang="en-IN" sz="1800" baseline="0">
                  <a:latin typeface="Cambria" panose="02040503050406030204" pitchFamily="18" charset="0"/>
                  <a:ea typeface="Cambria" panose="02040503050406030204" pitchFamily="18" charset="0"/>
                </a:rPr>
                <a:t>                sales</a:t>
              </a:r>
              <a:r>
                <a:rPr lang="en-IN" sz="1800">
                  <a:latin typeface="Cambria" panose="02040503050406030204" pitchFamily="18" charset="0"/>
                  <a:ea typeface="Cambria" panose="02040503050406030204" pitchFamily="18" charset="0"/>
                </a:rPr>
                <a:t>          </a:t>
              </a:r>
            </a:p>
          </xdr:txBody>
        </xdr:sp>
        <xdr:sp macro="" textlink="">
          <xdr:nvSpPr>
            <xdr:cNvPr id="34" name="Rectangle: Rounded Corners 33">
              <a:extLst>
                <a:ext uri="{FF2B5EF4-FFF2-40B4-BE49-F238E27FC236}">
                  <a16:creationId xmlns:a16="http://schemas.microsoft.com/office/drawing/2014/main" id="{6618F0EF-5D92-14A6-C086-6A385E762682}"/>
                </a:ext>
              </a:extLst>
            </xdr:cNvPr>
            <xdr:cNvSpPr/>
          </xdr:nvSpPr>
          <xdr:spPr>
            <a:xfrm>
              <a:off x="419100" y="1076325"/>
              <a:ext cx="733425" cy="847725"/>
            </a:xfrm>
            <a:prstGeom prst="roundRect">
              <a:avLst/>
            </a:prstGeom>
            <a:gradFill>
              <a:gsLst>
                <a:gs pos="50000">
                  <a:srgbClr val="65CCD7"/>
                </a:gs>
                <a:gs pos="0">
                  <a:srgbClr val="00B0F0"/>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sp macro="" textlink="">
          <xdr:nvSpPr>
            <xdr:cNvPr id="35" name="TextBox 34">
              <a:extLst>
                <a:ext uri="{FF2B5EF4-FFF2-40B4-BE49-F238E27FC236}">
                  <a16:creationId xmlns:a16="http://schemas.microsoft.com/office/drawing/2014/main" id="{E2EB0226-07E4-3CBC-F5D2-BDC85C89A958}"/>
                </a:ext>
              </a:extLst>
            </xdr:cNvPr>
            <xdr:cNvSpPr txBox="1"/>
          </xdr:nvSpPr>
          <xdr:spPr>
            <a:xfrm>
              <a:off x="1257300" y="1171575"/>
              <a:ext cx="1059521" cy="302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latin typeface="Cambria" panose="02040503050406030204" pitchFamily="18" charset="0"/>
                  <a:ea typeface="Cambria" panose="02040503050406030204" pitchFamily="18" charset="0"/>
                </a:rPr>
                <a:t>Total</a:t>
              </a:r>
              <a:r>
                <a:rPr lang="en-IN" sz="1400" baseline="0">
                  <a:latin typeface="Cambria" panose="02040503050406030204" pitchFamily="18" charset="0"/>
                  <a:ea typeface="Cambria" panose="02040503050406030204" pitchFamily="18" charset="0"/>
                </a:rPr>
                <a:t> Profit</a:t>
              </a:r>
              <a:endParaRPr lang="en-IN" sz="1400">
                <a:latin typeface="Cambria" panose="02040503050406030204" pitchFamily="18" charset="0"/>
                <a:ea typeface="Cambria" panose="02040503050406030204" pitchFamily="18" charset="0"/>
              </a:endParaRPr>
            </a:p>
          </xdr:txBody>
        </xdr:sp>
        <xdr:sp macro="" textlink="SalesData!L10">
          <xdr:nvSpPr>
            <xdr:cNvPr id="36" name="TextBox 35">
              <a:extLst>
                <a:ext uri="{FF2B5EF4-FFF2-40B4-BE49-F238E27FC236}">
                  <a16:creationId xmlns:a16="http://schemas.microsoft.com/office/drawing/2014/main" id="{A84C9259-08B5-DB84-2543-E761231B1142}"/>
                </a:ext>
              </a:extLst>
            </xdr:cNvPr>
            <xdr:cNvSpPr txBox="1"/>
          </xdr:nvSpPr>
          <xdr:spPr>
            <a:xfrm>
              <a:off x="1247775" y="1485900"/>
              <a:ext cx="878083" cy="242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3878BF8-86A6-4D27-A63C-71B5DA33495B}" type="TxLink">
                <a:rPr lang="en-US" sz="1100" b="0" i="0" u="none" strike="noStrike">
                  <a:solidFill>
                    <a:srgbClr val="000000"/>
                  </a:solidFill>
                  <a:latin typeface="Aptos Narrow"/>
                </a:rPr>
                <a:pPr/>
                <a:t> Rs. 38,34,400 </a:t>
              </a:fld>
              <a:endParaRPr lang="en-IN" sz="1100"/>
            </a:p>
          </xdr:txBody>
        </xdr:sp>
      </xdr:grpSp>
      <xdr:sp macro="" textlink="">
        <xdr:nvSpPr>
          <xdr:cNvPr id="32" name="Rectangle: Rounded Corners 31">
            <a:extLst>
              <a:ext uri="{FF2B5EF4-FFF2-40B4-BE49-F238E27FC236}">
                <a16:creationId xmlns:a16="http://schemas.microsoft.com/office/drawing/2014/main" id="{5D39A90D-F16B-DE3C-8B0D-7A3AC8DB53D6}"/>
              </a:ext>
            </a:extLst>
          </xdr:cNvPr>
          <xdr:cNvSpPr/>
        </xdr:nvSpPr>
        <xdr:spPr>
          <a:xfrm>
            <a:off x="409575" y="1076325"/>
            <a:ext cx="733425" cy="847725"/>
          </a:xfrm>
          <a:prstGeom prst="roundRect">
            <a:avLst/>
          </a:prstGeom>
          <a:gradFill>
            <a:gsLst>
              <a:gs pos="50000">
                <a:srgbClr val="65CCD7"/>
              </a:gs>
              <a:gs pos="0">
                <a:srgbClr val="00B0F0"/>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grpSp>
    <xdr:clientData/>
  </xdr:twoCellAnchor>
  <xdr:twoCellAnchor editAs="oneCell">
    <xdr:from>
      <xdr:col>0</xdr:col>
      <xdr:colOff>419100</xdr:colOff>
      <xdr:row>6</xdr:row>
      <xdr:rowOff>123825</xdr:rowOff>
    </xdr:from>
    <xdr:to>
      <xdr:col>1</xdr:col>
      <xdr:colOff>514350</xdr:colOff>
      <xdr:row>10</xdr:row>
      <xdr:rowOff>123825</xdr:rowOff>
    </xdr:to>
    <xdr:pic>
      <xdr:nvPicPr>
        <xdr:cNvPr id="39" name="Graphic 38" descr="Dollar">
          <a:extLst>
            <a:ext uri="{FF2B5EF4-FFF2-40B4-BE49-F238E27FC236}">
              <a16:creationId xmlns:a16="http://schemas.microsoft.com/office/drawing/2014/main" id="{EED52655-02ED-30E8-442D-835EF9E814E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9100" y="1266825"/>
          <a:ext cx="704850" cy="762000"/>
        </a:xfrm>
        <a:prstGeom prst="rect">
          <a:avLst/>
        </a:prstGeom>
      </xdr:spPr>
    </xdr:pic>
    <xdr:clientData/>
  </xdr:twoCellAnchor>
  <xdr:twoCellAnchor editAs="oneCell">
    <xdr:from>
      <xdr:col>4</xdr:col>
      <xdr:colOff>171449</xdr:colOff>
      <xdr:row>6</xdr:row>
      <xdr:rowOff>123825</xdr:rowOff>
    </xdr:from>
    <xdr:to>
      <xdr:col>5</xdr:col>
      <xdr:colOff>228600</xdr:colOff>
      <xdr:row>10</xdr:row>
      <xdr:rowOff>85725</xdr:rowOff>
    </xdr:to>
    <xdr:pic>
      <xdr:nvPicPr>
        <xdr:cNvPr id="41" name="Graphic 40" descr="Euro">
          <a:extLst>
            <a:ext uri="{FF2B5EF4-FFF2-40B4-BE49-F238E27FC236}">
              <a16:creationId xmlns:a16="http://schemas.microsoft.com/office/drawing/2014/main" id="{A58DA050-7226-015B-4198-7B2F376532F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09849" y="1266825"/>
          <a:ext cx="666751" cy="723900"/>
        </a:xfrm>
        <a:prstGeom prst="rect">
          <a:avLst/>
        </a:prstGeom>
      </xdr:spPr>
    </xdr:pic>
    <xdr:clientData/>
  </xdr:twoCellAnchor>
  <xdr:twoCellAnchor editAs="oneCell">
    <xdr:from>
      <xdr:col>7</xdr:col>
      <xdr:colOff>590549</xdr:colOff>
      <xdr:row>6</xdr:row>
      <xdr:rowOff>171450</xdr:rowOff>
    </xdr:from>
    <xdr:to>
      <xdr:col>9</xdr:col>
      <xdr:colOff>133350</xdr:colOff>
      <xdr:row>10</xdr:row>
      <xdr:rowOff>38100</xdr:rowOff>
    </xdr:to>
    <xdr:pic>
      <xdr:nvPicPr>
        <xdr:cNvPr id="43" name="Graphic 42" descr="Money">
          <a:extLst>
            <a:ext uri="{FF2B5EF4-FFF2-40B4-BE49-F238E27FC236}">
              <a16:creationId xmlns:a16="http://schemas.microsoft.com/office/drawing/2014/main" id="{34C0E02D-04B4-10A1-BE5A-6D53BBF7D47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57749" y="1314450"/>
          <a:ext cx="762001" cy="628650"/>
        </a:xfrm>
        <a:prstGeom prst="rect">
          <a:avLst/>
        </a:prstGeom>
      </xdr:spPr>
    </xdr:pic>
    <xdr:clientData/>
  </xdr:twoCellAnchor>
  <xdr:twoCellAnchor editAs="oneCell">
    <xdr:from>
      <xdr:col>11</xdr:col>
      <xdr:colOff>485969</xdr:colOff>
      <xdr:row>6</xdr:row>
      <xdr:rowOff>134516</xdr:rowOff>
    </xdr:from>
    <xdr:to>
      <xdr:col>13</xdr:col>
      <xdr:colOff>22937</xdr:colOff>
      <xdr:row>10</xdr:row>
      <xdr:rowOff>87474</xdr:rowOff>
    </xdr:to>
    <xdr:pic>
      <xdr:nvPicPr>
        <xdr:cNvPr id="45" name="Graphic 44" descr="Coins">
          <a:extLst>
            <a:ext uri="{FF2B5EF4-FFF2-40B4-BE49-F238E27FC236}">
              <a16:creationId xmlns:a16="http://schemas.microsoft.com/office/drawing/2014/main" id="{98A00519-6EB2-C06A-D388-4D61178099D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21505" y="1300843"/>
          <a:ext cx="761611" cy="730509"/>
        </a:xfrm>
        <a:prstGeom prst="rect">
          <a:avLst/>
        </a:prstGeom>
      </xdr:spPr>
    </xdr:pic>
    <xdr:clientData/>
  </xdr:twoCellAnchor>
  <xdr:twoCellAnchor>
    <xdr:from>
      <xdr:col>4</xdr:col>
      <xdr:colOff>11475</xdr:colOff>
      <xdr:row>12</xdr:row>
      <xdr:rowOff>22952</xdr:rowOff>
    </xdr:from>
    <xdr:to>
      <xdr:col>14</xdr:col>
      <xdr:colOff>596747</xdr:colOff>
      <xdr:row>26</xdr:row>
      <xdr:rowOff>172138</xdr:rowOff>
    </xdr:to>
    <xdr:grpSp>
      <xdr:nvGrpSpPr>
        <xdr:cNvPr id="59" name="Group 58">
          <a:extLst>
            <a:ext uri="{FF2B5EF4-FFF2-40B4-BE49-F238E27FC236}">
              <a16:creationId xmlns:a16="http://schemas.microsoft.com/office/drawing/2014/main" id="{D51F5DDD-E9CF-8DA5-BAAA-4DB9D0D29B3D}"/>
            </a:ext>
          </a:extLst>
        </xdr:cNvPr>
        <xdr:cNvGrpSpPr/>
      </xdr:nvGrpSpPr>
      <xdr:grpSpPr>
        <a:xfrm>
          <a:off x="2436020" y="2308952"/>
          <a:ext cx="6646636" cy="2816186"/>
          <a:chOff x="2444367" y="2364036"/>
          <a:chExt cx="6667500" cy="2880451"/>
        </a:xfrm>
      </xdr:grpSpPr>
      <xdr:sp macro="" textlink="">
        <xdr:nvSpPr>
          <xdr:cNvPr id="54" name="Rectangle: Rounded Corners 53">
            <a:extLst>
              <a:ext uri="{FF2B5EF4-FFF2-40B4-BE49-F238E27FC236}">
                <a16:creationId xmlns:a16="http://schemas.microsoft.com/office/drawing/2014/main" id="{6CDA741D-CF5C-2F94-B14A-C9C0DBD27858}"/>
              </a:ext>
            </a:extLst>
          </xdr:cNvPr>
          <xdr:cNvSpPr/>
        </xdr:nvSpPr>
        <xdr:spPr>
          <a:xfrm>
            <a:off x="2444367" y="2364036"/>
            <a:ext cx="6667500" cy="2880451"/>
          </a:xfrm>
          <a:prstGeom prst="round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graphicFrame macro="">
        <xdr:nvGraphicFramePr>
          <xdr:cNvPr id="57" name="Chart 56">
            <a:extLst>
              <a:ext uri="{FF2B5EF4-FFF2-40B4-BE49-F238E27FC236}">
                <a16:creationId xmlns:a16="http://schemas.microsoft.com/office/drawing/2014/main" id="{0B58289B-0718-4C4C-87E0-732AFE8ED062}"/>
              </a:ext>
            </a:extLst>
          </xdr:cNvPr>
          <xdr:cNvGraphicFramePr>
            <a:graphicFrameLocks/>
          </xdr:cNvGraphicFramePr>
        </xdr:nvGraphicFramePr>
        <xdr:xfrm>
          <a:off x="3006686" y="2455843"/>
          <a:ext cx="6024850" cy="258207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15</xdr:col>
      <xdr:colOff>126235</xdr:colOff>
      <xdr:row>12</xdr:row>
      <xdr:rowOff>34428</xdr:rowOff>
    </xdr:from>
    <xdr:to>
      <xdr:col>21</xdr:col>
      <xdr:colOff>240994</xdr:colOff>
      <xdr:row>26</xdr:row>
      <xdr:rowOff>183614</xdr:rowOff>
    </xdr:to>
    <xdr:grpSp>
      <xdr:nvGrpSpPr>
        <xdr:cNvPr id="62" name="Group 61">
          <a:extLst>
            <a:ext uri="{FF2B5EF4-FFF2-40B4-BE49-F238E27FC236}">
              <a16:creationId xmlns:a16="http://schemas.microsoft.com/office/drawing/2014/main" id="{DDF1336E-7BBF-34C9-ED09-CCA7895423D3}"/>
            </a:ext>
          </a:extLst>
        </xdr:cNvPr>
        <xdr:cNvGrpSpPr/>
      </xdr:nvGrpSpPr>
      <xdr:grpSpPr>
        <a:xfrm>
          <a:off x="9218280" y="2320428"/>
          <a:ext cx="3751578" cy="2816186"/>
          <a:chOff x="9218280" y="2320428"/>
          <a:chExt cx="3751578" cy="2816186"/>
        </a:xfrm>
      </xdr:grpSpPr>
      <xdr:sp macro="" textlink="">
        <xdr:nvSpPr>
          <xdr:cNvPr id="58" name="Rectangle: Rounded Corners 57">
            <a:extLst>
              <a:ext uri="{FF2B5EF4-FFF2-40B4-BE49-F238E27FC236}">
                <a16:creationId xmlns:a16="http://schemas.microsoft.com/office/drawing/2014/main" id="{FC3906BC-5675-4871-9131-DB0CF320A126}"/>
              </a:ext>
            </a:extLst>
          </xdr:cNvPr>
          <xdr:cNvSpPr/>
        </xdr:nvSpPr>
        <xdr:spPr>
          <a:xfrm>
            <a:off x="9218280" y="2320428"/>
            <a:ext cx="3751578" cy="2816186"/>
          </a:xfrm>
          <a:prstGeom prst="round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graphicFrame macro="">
        <xdr:nvGraphicFramePr>
          <xdr:cNvPr id="60" name="Chart 59">
            <a:extLst>
              <a:ext uri="{FF2B5EF4-FFF2-40B4-BE49-F238E27FC236}">
                <a16:creationId xmlns:a16="http://schemas.microsoft.com/office/drawing/2014/main" id="{F31B255B-8B40-4B9A-8D11-777FBA2657D3}"/>
              </a:ext>
            </a:extLst>
          </xdr:cNvPr>
          <xdr:cNvGraphicFramePr>
            <a:graphicFrameLocks/>
          </xdr:cNvGraphicFramePr>
        </xdr:nvGraphicFramePr>
        <xdr:xfrm>
          <a:off x="9448737" y="2427467"/>
          <a:ext cx="3280127" cy="2482238"/>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4</xdr:col>
      <xdr:colOff>51954</xdr:colOff>
      <xdr:row>27</xdr:row>
      <xdr:rowOff>60613</xdr:rowOff>
    </xdr:from>
    <xdr:to>
      <xdr:col>14</xdr:col>
      <xdr:colOff>606135</xdr:colOff>
      <xdr:row>38</xdr:row>
      <xdr:rowOff>173182</xdr:rowOff>
    </xdr:to>
    <xdr:grpSp>
      <xdr:nvGrpSpPr>
        <xdr:cNvPr id="65" name="Group 64">
          <a:extLst>
            <a:ext uri="{FF2B5EF4-FFF2-40B4-BE49-F238E27FC236}">
              <a16:creationId xmlns:a16="http://schemas.microsoft.com/office/drawing/2014/main" id="{54B50F24-0A2E-E954-8BA6-E8C435109C7B}"/>
            </a:ext>
          </a:extLst>
        </xdr:cNvPr>
        <xdr:cNvGrpSpPr/>
      </xdr:nvGrpSpPr>
      <xdr:grpSpPr>
        <a:xfrm>
          <a:off x="2476499" y="5204113"/>
          <a:ext cx="6615545" cy="2208069"/>
          <a:chOff x="2476499" y="5204113"/>
          <a:chExt cx="6615545" cy="2208069"/>
        </a:xfrm>
      </xdr:grpSpPr>
      <xdr:sp macro="" textlink="">
        <xdr:nvSpPr>
          <xdr:cNvPr id="61" name="Rectangle: Rounded Corners 60">
            <a:extLst>
              <a:ext uri="{FF2B5EF4-FFF2-40B4-BE49-F238E27FC236}">
                <a16:creationId xmlns:a16="http://schemas.microsoft.com/office/drawing/2014/main" id="{0DFD54AF-C7A0-4324-BC40-40D65B31473E}"/>
              </a:ext>
            </a:extLst>
          </xdr:cNvPr>
          <xdr:cNvSpPr/>
        </xdr:nvSpPr>
        <xdr:spPr>
          <a:xfrm>
            <a:off x="2476499" y="5204113"/>
            <a:ext cx="6615545" cy="2208069"/>
          </a:xfrm>
          <a:prstGeom prst="round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graphicFrame macro="">
        <xdr:nvGraphicFramePr>
          <xdr:cNvPr id="63" name="Chart 62">
            <a:extLst>
              <a:ext uri="{FF2B5EF4-FFF2-40B4-BE49-F238E27FC236}">
                <a16:creationId xmlns:a16="http://schemas.microsoft.com/office/drawing/2014/main" id="{7EE8D0FC-E2B2-487F-AFEC-86675C477131}"/>
              </a:ext>
            </a:extLst>
          </xdr:cNvPr>
          <xdr:cNvGraphicFramePr>
            <a:graphicFrameLocks/>
          </xdr:cNvGraphicFramePr>
        </xdr:nvGraphicFramePr>
        <xdr:xfrm>
          <a:off x="2615044" y="5273386"/>
          <a:ext cx="6407728" cy="2026228"/>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15</xdr:col>
      <xdr:colOff>164524</xdr:colOff>
      <xdr:row>27</xdr:row>
      <xdr:rowOff>112568</xdr:rowOff>
    </xdr:from>
    <xdr:to>
      <xdr:col>21</xdr:col>
      <xdr:colOff>294408</xdr:colOff>
      <xdr:row>38</xdr:row>
      <xdr:rowOff>181841</xdr:rowOff>
    </xdr:to>
    <xdr:grpSp>
      <xdr:nvGrpSpPr>
        <xdr:cNvPr id="67" name="Group 66">
          <a:extLst>
            <a:ext uri="{FF2B5EF4-FFF2-40B4-BE49-F238E27FC236}">
              <a16:creationId xmlns:a16="http://schemas.microsoft.com/office/drawing/2014/main" id="{5FFF193A-A7D6-C7BE-CA3E-E004DA23AE2F}"/>
            </a:ext>
          </a:extLst>
        </xdr:cNvPr>
        <xdr:cNvGrpSpPr/>
      </xdr:nvGrpSpPr>
      <xdr:grpSpPr>
        <a:xfrm>
          <a:off x="9256569" y="5256068"/>
          <a:ext cx="3766703" cy="2164773"/>
          <a:chOff x="9256569" y="5256068"/>
          <a:chExt cx="3766703" cy="2164773"/>
        </a:xfrm>
      </xdr:grpSpPr>
      <xdr:sp macro="" textlink="">
        <xdr:nvSpPr>
          <xdr:cNvPr id="64" name="Rectangle: Rounded Corners 63">
            <a:extLst>
              <a:ext uri="{FF2B5EF4-FFF2-40B4-BE49-F238E27FC236}">
                <a16:creationId xmlns:a16="http://schemas.microsoft.com/office/drawing/2014/main" id="{71C9AA90-C49D-4D75-B5CA-BA15A9A27123}"/>
              </a:ext>
            </a:extLst>
          </xdr:cNvPr>
          <xdr:cNvSpPr/>
        </xdr:nvSpPr>
        <xdr:spPr>
          <a:xfrm>
            <a:off x="9256569" y="5256068"/>
            <a:ext cx="3766703" cy="2164773"/>
          </a:xfrm>
          <a:prstGeom prst="roundRect">
            <a:avLst/>
          </a:prstGeom>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latin typeface="Cambria" panose="02040503050406030204" pitchFamily="18" charset="0"/>
                <a:ea typeface="Cambria" panose="02040503050406030204" pitchFamily="18" charset="0"/>
              </a:rPr>
              <a:t>                     </a:t>
            </a:r>
          </a:p>
        </xdr:txBody>
      </xdr:sp>
      <xdr:graphicFrame macro="">
        <xdr:nvGraphicFramePr>
          <xdr:cNvPr id="66" name="Chart 65">
            <a:extLst>
              <a:ext uri="{FF2B5EF4-FFF2-40B4-BE49-F238E27FC236}">
                <a16:creationId xmlns:a16="http://schemas.microsoft.com/office/drawing/2014/main" id="{2B7B6137-2971-4A4D-9652-09612A04FE73}"/>
              </a:ext>
            </a:extLst>
          </xdr:cNvPr>
          <xdr:cNvGraphicFramePr>
            <a:graphicFrameLocks/>
          </xdr:cNvGraphicFramePr>
        </xdr:nvGraphicFramePr>
        <xdr:xfrm>
          <a:off x="9499025" y="5351318"/>
          <a:ext cx="3420340" cy="1956955"/>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editAs="oneCell">
    <xdr:from>
      <xdr:col>0</xdr:col>
      <xdr:colOff>445851</xdr:colOff>
      <xdr:row>11</xdr:row>
      <xdr:rowOff>172260</xdr:rowOff>
    </xdr:from>
    <xdr:to>
      <xdr:col>3</xdr:col>
      <xdr:colOff>450715</xdr:colOff>
      <xdr:row>24</xdr:row>
      <xdr:rowOff>91197</xdr:rowOff>
    </xdr:to>
    <mc:AlternateContent xmlns:mc="http://schemas.openxmlformats.org/markup-compatibility/2006" xmlns:a14="http://schemas.microsoft.com/office/drawing/2010/main">
      <mc:Choice Requires="a14">
        <xdr:graphicFrame macro="">
          <xdr:nvGraphicFramePr>
            <xdr:cNvPr id="69" name="Product 1">
              <a:extLst>
                <a:ext uri="{FF2B5EF4-FFF2-40B4-BE49-F238E27FC236}">
                  <a16:creationId xmlns:a16="http://schemas.microsoft.com/office/drawing/2014/main" id="{A20209CD-0F03-49BB-B513-5A1FA85F923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45851" y="2290053"/>
              <a:ext cx="1828800" cy="2421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455984</xdr:colOff>
      <xdr:row>25</xdr:row>
      <xdr:rowOff>60798</xdr:rowOff>
    </xdr:from>
    <xdr:to>
      <xdr:col>3</xdr:col>
      <xdr:colOff>460848</xdr:colOff>
      <xdr:row>39</xdr:row>
      <xdr:rowOff>32426</xdr:rowOff>
    </xdr:to>
    <mc:AlternateContent xmlns:mc="http://schemas.openxmlformats.org/markup-compatibility/2006" xmlns:a14="http://schemas.microsoft.com/office/drawing/2010/main">
      <mc:Choice Requires="a14">
        <xdr:graphicFrame macro="">
          <xdr:nvGraphicFramePr>
            <xdr:cNvPr id="70" name="Sales Person 2">
              <a:extLst>
                <a:ext uri="{FF2B5EF4-FFF2-40B4-BE49-F238E27FC236}">
                  <a16:creationId xmlns:a16="http://schemas.microsoft.com/office/drawing/2014/main" id="{EC370670-FF3B-4215-B16F-14FD47CDB485}"/>
                </a:ext>
              </a:extLst>
            </xdr:cNvPr>
            <xdr:cNvGraphicFramePr/>
          </xdr:nvGraphicFramePr>
          <xdr:xfrm>
            <a:off x="0" y="0"/>
            <a:ext cx="0" cy="0"/>
          </xdr:xfrm>
          <a:graphic>
            <a:graphicData uri="http://schemas.microsoft.com/office/drawing/2010/slicer">
              <sle:slicer xmlns:sle="http://schemas.microsoft.com/office/drawing/2010/slicer" name="Sales Person 2"/>
            </a:graphicData>
          </a:graphic>
        </xdr:graphicFrame>
      </mc:Choice>
      <mc:Fallback xmlns="">
        <xdr:sp macro="" textlink="">
          <xdr:nvSpPr>
            <xdr:cNvPr id="0" name=""/>
            <xdr:cNvSpPr>
              <a:spLocks noTextEdit="1"/>
            </xdr:cNvSpPr>
          </xdr:nvSpPr>
          <xdr:spPr>
            <a:xfrm>
              <a:off x="455984" y="4873963"/>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445850</xdr:colOff>
      <xdr:row>5</xdr:row>
      <xdr:rowOff>172260</xdr:rowOff>
    </xdr:from>
    <xdr:to>
      <xdr:col>20</xdr:col>
      <xdr:colOff>91196</xdr:colOff>
      <xdr:row>11</xdr:row>
      <xdr:rowOff>40531</xdr:rowOff>
    </xdr:to>
    <mc:AlternateContent xmlns:mc="http://schemas.openxmlformats.org/markup-compatibility/2006" xmlns:a14="http://schemas.microsoft.com/office/drawing/2010/main">
      <mc:Choice Requires="a14">
        <xdr:graphicFrame macro="">
          <xdr:nvGraphicFramePr>
            <xdr:cNvPr id="71" name="Region 2">
              <a:extLst>
                <a:ext uri="{FF2B5EF4-FFF2-40B4-BE49-F238E27FC236}">
                  <a16:creationId xmlns:a16="http://schemas.microsoft.com/office/drawing/2014/main" id="{87EEDE72-52A3-4D5A-91FE-2EB0E8C8AC4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565531" y="1134893"/>
              <a:ext cx="2685239" cy="1023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AMESH 22" refreshedDate="46191.455239351853" createdVersion="8" refreshedVersion="8" minRefreshableVersion="3" recordCount="50" xr:uid="{FDB2A43E-2DBC-447F-982C-E30EDEF03509}">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771453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223EE3-2B4A-422E-A537-E9B0684E11F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4"/>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13DE28-FE8A-4700-9BF7-0B365C2660F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0B58F9-EAEC-41EB-87BC-ECC54E65085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0" baseItem="0" numFmtId="164"/>
  </dataFields>
  <chartFormats count="10">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F19393-11DB-48E5-BC7F-429758D1EEC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2"/>
  </rowFields>
  <rowItems count="5">
    <i>
      <x/>
    </i>
    <i>
      <x v="1"/>
    </i>
    <i>
      <x v="2"/>
    </i>
    <i>
      <x v="3"/>
    </i>
    <i t="grand">
      <x/>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1" xr10:uid="{5C12C81C-07AD-4FAA-96AD-5E5AA04A6A33}" sourceName="Sales Person">
  <pivotTables>
    <pivotTable tabId="4" name="PivotTable2"/>
    <pivotTable tabId="4" name="PivotTable1"/>
    <pivotTable tabId="4" name="PivotTable3"/>
    <pivotTable tabId="4" name="PivotTable4"/>
  </pivotTables>
  <data>
    <tabular pivotCacheId="771453770">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2B74343-0A37-41DF-AFF3-201CEE44A306}" sourceName="Product">
  <pivotTables>
    <pivotTable tabId="4" name="PivotTable2"/>
    <pivotTable tabId="4" name="PivotTable1"/>
    <pivotTable tabId="4" name="PivotTable3"/>
    <pivotTable tabId="4" name="PivotTable4"/>
  </pivotTables>
  <data>
    <tabular pivotCacheId="771453770">
      <items count="7">
        <i x="2" s="1"/>
        <i x="1" s="1"/>
        <i x="5" s="1"/>
        <i x="3" s="1"/>
        <i x="6"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8E6416D-F65D-4EE7-9FCB-C767BB6F0C36}" sourceName="Region">
  <pivotTables>
    <pivotTable tabId="4" name="PivotTable2"/>
    <pivotTable tabId="4" name="PivotTable1"/>
    <pivotTable tabId="4" name="PivotTable3"/>
    <pivotTable tabId="4" name="PivotTable4"/>
  </pivotTables>
  <data>
    <tabular pivotCacheId="771453770">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C72735C-158B-4986-A0D6-C7834B914AA3}" sourceName="Sales Person">
  <extLst>
    <x:ext xmlns:x15="http://schemas.microsoft.com/office/spreadsheetml/2010/11/main" uri="{2F2917AC-EB37-4324-AD4E-5DD8C200BD13}">
      <x15:tableSlicerCache tableId="1"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044279-6149-4587-98D6-7CAF60F42DBA}" sourceName="Region">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66D5161-AABD-46B6-98AE-100B64CE1278}" cache="Slicer_Region1"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F1D2DB09-4019-4931-948A-34C54ECC5AEF}" cache="Slicer_Sales_Person" caption="Sales Person" style="SlicerStyleDark4" rowHeight="257175"/>
  <slicer name="Region 1" xr10:uid="{A3D73190-9BCB-45BC-A9D2-F016DB912F6F}" cache="Slicer_Region" caption="Region" columnCount="2" style="SlicerStyleDark5"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2" xr10:uid="{012FDCFB-40DB-47CD-ABB3-CC03B4A7B152}" cache="Slicer_Sales_Person1" caption="Sales Person" style="SlicerStyleOther2" rowHeight="257175"/>
  <slicer name="Product 1" xr10:uid="{3D657372-0B81-4FAF-B107-0EEF5A03A309}" cache="Slicer_Product" caption="Product" style="SlicerStyleOther2" rowHeight="257175"/>
  <slicer name="Region 2" xr10:uid="{21972706-1B86-4CBE-A0E3-71C5F920D357}" cache="Slicer_Region1" caption="Region" columnCount="2" style="SlicerStyleOther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F9A38B-3158-44B2-A591-0AEE17ACF491}" name="Table1" displayName="Table1" ref="A1:I51" totalsRowShown="0" headerRowDxfId="7" dataDxfId="6" dataCellStyle="Currency [0]">
  <autoFilter ref="A1:I51" xr:uid="{94F9A38B-3158-44B2-A591-0AEE17ACF491}"/>
  <tableColumns count="9">
    <tableColumn id="1" xr3:uid="{249F132A-27CE-4129-8780-4B8B23BEDAC5}" name="Date" dataDxfId="5"/>
    <tableColumn id="2" xr3:uid="{0EA8079B-3488-4487-B777-87E75BDB5929}" name="Sales Person"/>
    <tableColumn id="3" xr3:uid="{7BEC9F98-529E-4E13-ABDD-A7761DBBD8EE}" name="Region"/>
    <tableColumn id="4" xr3:uid="{64CABE73-B09C-41BA-9A69-D9810853F0DD}" name="Product"/>
    <tableColumn id="5" xr3:uid="{2CEBD303-5808-437F-B797-408431E249A7}" name="Units Sold" dataDxfId="4"/>
    <tableColumn id="6" xr3:uid="{50951D44-0CD2-4B2E-847E-45BCCF3AA055}" name="Unit Price" dataDxfId="3" dataCellStyle="Currency [0]">
      <calculatedColumnFormula>IF(D2="Tent",6000,IF(D2="Blender",3500,IF(D2="Action Figure",1200,IF(D2="Novel",1000,IF(D2="Sneakers",4000,IF(D2="Smartphone",10000,IF(D2="moisturizer",600,"No Product Found")))))))</calculatedColumnFormula>
    </tableColumn>
    <tableColumn id="7" xr3:uid="{B4D25025-77D3-4E61-915E-08058C65176F}" name="Cost of Goods" dataDxfId="2" dataCellStyle="Currency [0]">
      <calculatedColumnFormula>IF(D2="Tent",4000,IF(D2="Blender",2500,IF(D2="Action Figure",800,IF(D2="Novel",700,IF(D2="Sneakers",3000,IF(D2="Smartphone",7000,IF(D2="moisturizer",400,"No Product Found")))))))</calculatedColumnFormula>
    </tableColumn>
    <tableColumn id="8" xr3:uid="{01D2BEE9-1B60-4F97-9F75-A510364DFEF7}" name="Total Sales" dataDxfId="1" dataCellStyle="Currency [0]">
      <calculatedColumnFormula>F2*E2</calculatedColumnFormula>
    </tableColumn>
    <tableColumn id="9" xr3:uid="{7D8CAD43-D7B3-4CE7-B846-F1AC9F66E48F}"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CA66E-E46E-4D9A-B947-71FF8FA8DDD2}">
  <dimension ref="A3:N14"/>
  <sheetViews>
    <sheetView topLeftCell="D1" workbookViewId="0">
      <selection activeCell="E3" sqref="E3:F11"/>
    </sheetView>
  </sheetViews>
  <sheetFormatPr defaultRowHeight="15" x14ac:dyDescent="0.25"/>
  <cols>
    <col min="1" max="1" width="13.42578125" bestFit="1" customWidth="1"/>
    <col min="2" max="2" width="17.7109375" bestFit="1" customWidth="1"/>
    <col min="5" max="5" width="13.42578125" bestFit="1" customWidth="1"/>
    <col min="6" max="6" width="17.7109375" bestFit="1" customWidth="1"/>
    <col min="9" max="9" width="13.42578125" bestFit="1" customWidth="1"/>
    <col min="10" max="10" width="17.7109375" bestFit="1" customWidth="1"/>
    <col min="13" max="13" width="13.42578125" bestFit="1" customWidth="1"/>
    <col min="14" max="14" width="17" bestFit="1" customWidth="1"/>
  </cols>
  <sheetData>
    <row r="3" spans="1:14" x14ac:dyDescent="0.25">
      <c r="A3" s="9" t="s">
        <v>34</v>
      </c>
      <c r="B3" t="s">
        <v>35</v>
      </c>
      <c r="E3" s="9" t="s">
        <v>34</v>
      </c>
      <c r="F3" t="s">
        <v>35</v>
      </c>
      <c r="I3" s="9" t="s">
        <v>34</v>
      </c>
      <c r="J3" t="s">
        <v>35</v>
      </c>
      <c r="M3" s="9" t="s">
        <v>34</v>
      </c>
      <c r="N3" t="s">
        <v>36</v>
      </c>
    </row>
    <row r="4" spans="1:14" x14ac:dyDescent="0.25">
      <c r="A4" s="3" t="s">
        <v>12</v>
      </c>
      <c r="B4" s="6">
        <v>3534400</v>
      </c>
      <c r="E4" s="3" t="s">
        <v>16</v>
      </c>
      <c r="F4" s="6">
        <v>547200</v>
      </c>
      <c r="I4" s="3" t="s">
        <v>8</v>
      </c>
      <c r="J4" s="6">
        <v>1591600</v>
      </c>
      <c r="M4" s="3" t="s">
        <v>12</v>
      </c>
      <c r="N4">
        <v>966</v>
      </c>
    </row>
    <row r="5" spans="1:14" x14ac:dyDescent="0.25">
      <c r="A5" s="3" t="s">
        <v>18</v>
      </c>
      <c r="B5" s="6">
        <v>2661400</v>
      </c>
      <c r="E5" s="3" t="s">
        <v>13</v>
      </c>
      <c r="F5" s="6">
        <v>2222500</v>
      </c>
      <c r="I5" s="3" t="s">
        <v>25</v>
      </c>
      <c r="J5" s="6">
        <v>677600</v>
      </c>
      <c r="M5" s="3" t="s">
        <v>18</v>
      </c>
      <c r="N5">
        <v>1139</v>
      </c>
    </row>
    <row r="6" spans="1:14" x14ac:dyDescent="0.25">
      <c r="A6" s="3" t="s">
        <v>15</v>
      </c>
      <c r="B6" s="6">
        <v>2870600</v>
      </c>
      <c r="E6" s="3" t="s">
        <v>26</v>
      </c>
      <c r="F6" s="6">
        <v>706800</v>
      </c>
      <c r="I6" s="3" t="s">
        <v>17</v>
      </c>
      <c r="J6" s="6">
        <v>1957000</v>
      </c>
      <c r="M6" s="3" t="s">
        <v>15</v>
      </c>
      <c r="N6">
        <v>1496</v>
      </c>
    </row>
    <row r="7" spans="1:14" x14ac:dyDescent="0.25">
      <c r="A7" s="3" t="s">
        <v>9</v>
      </c>
      <c r="B7" s="6">
        <v>3878100</v>
      </c>
      <c r="E7" s="3" t="s">
        <v>19</v>
      </c>
      <c r="F7" s="6">
        <v>898000</v>
      </c>
      <c r="I7" s="3" t="s">
        <v>22</v>
      </c>
      <c r="J7" s="6">
        <v>1661400</v>
      </c>
      <c r="M7" s="3" t="s">
        <v>9</v>
      </c>
      <c r="N7">
        <v>1104</v>
      </c>
    </row>
    <row r="8" spans="1:14" x14ac:dyDescent="0.25">
      <c r="A8" s="3" t="s">
        <v>30</v>
      </c>
      <c r="B8" s="6">
        <v>12944500</v>
      </c>
      <c r="E8" s="3" t="s">
        <v>28</v>
      </c>
      <c r="F8" s="6">
        <v>2350000</v>
      </c>
      <c r="I8" s="3" t="s">
        <v>24</v>
      </c>
      <c r="J8" s="6">
        <v>1741200</v>
      </c>
      <c r="M8" s="3" t="s">
        <v>30</v>
      </c>
      <c r="N8">
        <v>4705</v>
      </c>
    </row>
    <row r="9" spans="1:14" x14ac:dyDescent="0.25">
      <c r="E9" s="3" t="s">
        <v>21</v>
      </c>
      <c r="F9" s="6">
        <v>3196000</v>
      </c>
      <c r="I9" s="3" t="s">
        <v>14</v>
      </c>
      <c r="J9" s="6">
        <v>1110000</v>
      </c>
    </row>
    <row r="10" spans="1:14" x14ac:dyDescent="0.25">
      <c r="E10" s="3" t="s">
        <v>10</v>
      </c>
      <c r="F10" s="6">
        <v>3024000</v>
      </c>
      <c r="I10" s="3" t="s">
        <v>11</v>
      </c>
      <c r="J10" s="6">
        <v>1777400</v>
      </c>
    </row>
    <row r="11" spans="1:14" x14ac:dyDescent="0.25">
      <c r="E11" s="3" t="s">
        <v>30</v>
      </c>
      <c r="F11" s="6">
        <v>12944500</v>
      </c>
      <c r="I11" s="3" t="s">
        <v>20</v>
      </c>
      <c r="J11" s="6">
        <v>1065400</v>
      </c>
    </row>
    <row r="12" spans="1:14" x14ac:dyDescent="0.25">
      <c r="I12" s="3" t="s">
        <v>27</v>
      </c>
      <c r="J12" s="6">
        <v>784400</v>
      </c>
    </row>
    <row r="13" spans="1:14" x14ac:dyDescent="0.25">
      <c r="I13" s="3" t="s">
        <v>23</v>
      </c>
      <c r="J13" s="6">
        <v>578500</v>
      </c>
    </row>
    <row r="14" spans="1:14" x14ac:dyDescent="0.25">
      <c r="I14" s="3" t="s">
        <v>30</v>
      </c>
      <c r="J14" s="6">
        <v>12944500</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3A4CF648-6AED-40f4-86FF-DC5316D8AED3}">
      <x14:slicerList xmlns:x14="http://schemas.microsoft.com/office/spreadsheetml/2009/9/main">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L51"/>
  <sheetViews>
    <sheetView workbookViewId="0">
      <selection activeCell="K43" sqref="K43"/>
    </sheetView>
  </sheetViews>
  <sheetFormatPr defaultRowHeight="15" x14ac:dyDescent="0.25"/>
  <cols>
    <col min="1" max="1" width="12.85546875" customWidth="1"/>
    <col min="2" max="2" width="14.7109375" customWidth="1"/>
    <col min="3" max="3" width="9.42578125" customWidth="1"/>
    <col min="4" max="4" width="15.5703125" customWidth="1"/>
    <col min="5" max="5" width="12.28515625" customWidth="1"/>
    <col min="6" max="6" width="11.85546875" customWidth="1"/>
    <col min="7" max="7" width="16" customWidth="1"/>
    <col min="8" max="9" width="13.5703125" customWidth="1"/>
    <col min="10" max="10" width="12.28515625" bestFit="1" customWidth="1"/>
    <col min="11" max="11" width="14.28515625" customWidth="1"/>
    <col min="12" max="12" width="18.7109375" customWidth="1"/>
  </cols>
  <sheetData>
    <row r="1" spans="1:12" ht="20.100000000000001" customHeight="1" thickBot="1" x14ac:dyDescent="0.3">
      <c r="A1" s="1" t="s">
        <v>0</v>
      </c>
      <c r="B1" s="1" t="s">
        <v>1</v>
      </c>
      <c r="C1" s="1" t="s">
        <v>2</v>
      </c>
      <c r="D1" s="1" t="s">
        <v>3</v>
      </c>
      <c r="E1" s="1" t="s">
        <v>4</v>
      </c>
      <c r="F1" s="1" t="s">
        <v>5</v>
      </c>
      <c r="G1" s="1" t="s">
        <v>6</v>
      </c>
      <c r="H1" s="1" t="s">
        <v>7</v>
      </c>
      <c r="I1" s="5" t="s">
        <v>29</v>
      </c>
      <c r="L1" s="5" t="s">
        <v>30</v>
      </c>
    </row>
    <row r="2" spans="1:12" ht="15.75" thickTop="1" x14ac:dyDescent="0.25">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H2-(G2*E2)</f>
        <v>168000</v>
      </c>
      <c r="L2" s="6">
        <f>SUM(H2:H51)</f>
        <v>12944500</v>
      </c>
    </row>
    <row r="3" spans="1:12" x14ac:dyDescent="0.25">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6">
        <f t="shared" ref="I3:I51" si="3">H3-(G3*E3)</f>
        <v>128000</v>
      </c>
    </row>
    <row r="4" spans="1:12" x14ac:dyDescent="0.25">
      <c r="A4" s="2">
        <v>44230</v>
      </c>
      <c r="B4" t="s">
        <v>14</v>
      </c>
      <c r="C4" t="s">
        <v>15</v>
      </c>
      <c r="D4" t="s">
        <v>16</v>
      </c>
      <c r="E4" s="3">
        <v>136</v>
      </c>
      <c r="F4" s="4">
        <f t="shared" si="0"/>
        <v>1200</v>
      </c>
      <c r="G4" s="4">
        <f t="shared" si="1"/>
        <v>800</v>
      </c>
      <c r="H4" s="4">
        <f t="shared" si="2"/>
        <v>163200</v>
      </c>
      <c r="I4" s="6">
        <f t="shared" si="3"/>
        <v>54400</v>
      </c>
    </row>
    <row r="5" spans="1:12" x14ac:dyDescent="0.25">
      <c r="A5" s="2">
        <v>44085</v>
      </c>
      <c r="B5" t="s">
        <v>17</v>
      </c>
      <c r="C5" t="s">
        <v>18</v>
      </c>
      <c r="D5" t="s">
        <v>19</v>
      </c>
      <c r="E5" s="3">
        <v>91</v>
      </c>
      <c r="F5" s="4">
        <f t="shared" si="0"/>
        <v>1000</v>
      </c>
      <c r="G5" s="4">
        <f t="shared" si="1"/>
        <v>700</v>
      </c>
      <c r="H5" s="4">
        <f t="shared" si="2"/>
        <v>91000</v>
      </c>
      <c r="I5" s="6">
        <f t="shared" si="3"/>
        <v>27300</v>
      </c>
      <c r="L5" s="7" t="s">
        <v>31</v>
      </c>
    </row>
    <row r="6" spans="1:12" x14ac:dyDescent="0.25">
      <c r="A6" s="2">
        <v>44462</v>
      </c>
      <c r="B6" t="s">
        <v>20</v>
      </c>
      <c r="C6" t="s">
        <v>9</v>
      </c>
      <c r="D6" t="s">
        <v>21</v>
      </c>
      <c r="E6" s="3">
        <v>110</v>
      </c>
      <c r="F6" s="4">
        <f t="shared" si="0"/>
        <v>4000</v>
      </c>
      <c r="G6" s="4">
        <f t="shared" si="1"/>
        <v>3000</v>
      </c>
      <c r="H6" s="4">
        <f t="shared" si="2"/>
        <v>440000</v>
      </c>
      <c r="I6" s="6">
        <f t="shared" si="3"/>
        <v>110000</v>
      </c>
      <c r="L6" s="7">
        <f>SUM(E2:E51)</f>
        <v>4705</v>
      </c>
    </row>
    <row r="7" spans="1:12" x14ac:dyDescent="0.25">
      <c r="A7" s="2">
        <v>44105</v>
      </c>
      <c r="B7" t="s">
        <v>22</v>
      </c>
      <c r="C7" t="s">
        <v>12</v>
      </c>
      <c r="D7" t="s">
        <v>16</v>
      </c>
      <c r="E7" s="3">
        <v>51</v>
      </c>
      <c r="F7" s="4">
        <f t="shared" si="0"/>
        <v>1200</v>
      </c>
      <c r="G7" s="4">
        <f t="shared" si="1"/>
        <v>800</v>
      </c>
      <c r="H7" s="4">
        <f t="shared" si="2"/>
        <v>61200</v>
      </c>
      <c r="I7" s="6">
        <f t="shared" si="3"/>
        <v>20400</v>
      </c>
      <c r="L7" s="7"/>
    </row>
    <row r="8" spans="1:12" x14ac:dyDescent="0.25">
      <c r="A8" s="2">
        <v>44413</v>
      </c>
      <c r="B8" t="s">
        <v>23</v>
      </c>
      <c r="C8" t="s">
        <v>18</v>
      </c>
      <c r="D8" t="s">
        <v>19</v>
      </c>
      <c r="E8" s="3">
        <v>78</v>
      </c>
      <c r="F8" s="4">
        <f t="shared" si="0"/>
        <v>1000</v>
      </c>
      <c r="G8" s="4">
        <f t="shared" si="1"/>
        <v>700</v>
      </c>
      <c r="H8" s="4">
        <f t="shared" si="2"/>
        <v>78000</v>
      </c>
      <c r="I8" s="6">
        <f t="shared" si="3"/>
        <v>23400</v>
      </c>
      <c r="L8" s="7"/>
    </row>
    <row r="9" spans="1:12" x14ac:dyDescent="0.25">
      <c r="A9" s="2">
        <v>44141</v>
      </c>
      <c r="B9" t="s">
        <v>24</v>
      </c>
      <c r="C9" t="s">
        <v>15</v>
      </c>
      <c r="D9" t="s">
        <v>10</v>
      </c>
      <c r="E9" s="3">
        <v>146</v>
      </c>
      <c r="F9" s="4">
        <f t="shared" si="0"/>
        <v>6000</v>
      </c>
      <c r="G9" s="4">
        <f t="shared" si="1"/>
        <v>4000</v>
      </c>
      <c r="H9" s="4">
        <f t="shared" si="2"/>
        <v>876000</v>
      </c>
      <c r="I9" s="6">
        <f t="shared" si="3"/>
        <v>292000</v>
      </c>
      <c r="L9" s="7" t="s">
        <v>32</v>
      </c>
    </row>
    <row r="10" spans="1:12" x14ac:dyDescent="0.25">
      <c r="A10" s="2">
        <v>44223</v>
      </c>
      <c r="B10" t="s">
        <v>25</v>
      </c>
      <c r="C10" t="s">
        <v>9</v>
      </c>
      <c r="D10" t="s">
        <v>26</v>
      </c>
      <c r="E10" s="3">
        <v>101</v>
      </c>
      <c r="F10" s="4">
        <f t="shared" si="0"/>
        <v>600</v>
      </c>
      <c r="G10" s="4">
        <f t="shared" si="1"/>
        <v>400</v>
      </c>
      <c r="H10" s="4">
        <f t="shared" si="2"/>
        <v>60600</v>
      </c>
      <c r="I10" s="6">
        <f t="shared" si="3"/>
        <v>20200</v>
      </c>
      <c r="L10" s="8">
        <f>SUM(I2:I51)</f>
        <v>3834400</v>
      </c>
    </row>
    <row r="11" spans="1:12" x14ac:dyDescent="0.25">
      <c r="A11" s="2">
        <v>44442</v>
      </c>
      <c r="B11" t="s">
        <v>27</v>
      </c>
      <c r="C11" t="s">
        <v>15</v>
      </c>
      <c r="D11" t="s">
        <v>10</v>
      </c>
      <c r="E11" s="3">
        <v>52</v>
      </c>
      <c r="F11" s="4">
        <f t="shared" si="0"/>
        <v>6000</v>
      </c>
      <c r="G11" s="4">
        <f t="shared" si="1"/>
        <v>4000</v>
      </c>
      <c r="H11" s="4">
        <f t="shared" si="2"/>
        <v>312000</v>
      </c>
      <c r="I11" s="6">
        <f t="shared" si="3"/>
        <v>104000</v>
      </c>
      <c r="L11" s="7"/>
    </row>
    <row r="12" spans="1:12" x14ac:dyDescent="0.25">
      <c r="A12" s="2">
        <v>44469</v>
      </c>
      <c r="B12" t="s">
        <v>27</v>
      </c>
      <c r="C12" t="s">
        <v>12</v>
      </c>
      <c r="D12" t="s">
        <v>16</v>
      </c>
      <c r="E12" s="3">
        <v>55</v>
      </c>
      <c r="F12" s="4">
        <f t="shared" si="0"/>
        <v>1200</v>
      </c>
      <c r="G12" s="4">
        <f t="shared" si="1"/>
        <v>800</v>
      </c>
      <c r="H12" s="4">
        <f t="shared" si="2"/>
        <v>66000</v>
      </c>
      <c r="I12" s="6">
        <f t="shared" si="3"/>
        <v>22000</v>
      </c>
      <c r="L12" s="7"/>
    </row>
    <row r="13" spans="1:12" x14ac:dyDescent="0.25">
      <c r="A13" s="2">
        <v>44084</v>
      </c>
      <c r="B13" t="s">
        <v>27</v>
      </c>
      <c r="C13" t="s">
        <v>15</v>
      </c>
      <c r="D13" t="s">
        <v>19</v>
      </c>
      <c r="E13" s="3">
        <v>137</v>
      </c>
      <c r="F13" s="4">
        <f t="shared" si="0"/>
        <v>1000</v>
      </c>
      <c r="G13" s="4">
        <f t="shared" si="1"/>
        <v>700</v>
      </c>
      <c r="H13" s="4">
        <f t="shared" si="2"/>
        <v>137000</v>
      </c>
      <c r="I13" s="6">
        <f t="shared" si="3"/>
        <v>41100</v>
      </c>
      <c r="L13" s="7" t="s">
        <v>33</v>
      </c>
    </row>
    <row r="14" spans="1:12" x14ac:dyDescent="0.25">
      <c r="A14" s="2">
        <v>44404</v>
      </c>
      <c r="B14" t="s">
        <v>24</v>
      </c>
      <c r="C14" t="s">
        <v>15</v>
      </c>
      <c r="D14" t="s">
        <v>13</v>
      </c>
      <c r="E14" s="3">
        <v>96</v>
      </c>
      <c r="F14" s="4">
        <f t="shared" si="0"/>
        <v>3500</v>
      </c>
      <c r="G14" s="4">
        <f t="shared" si="1"/>
        <v>2500</v>
      </c>
      <c r="H14" s="4">
        <f t="shared" si="2"/>
        <v>336000</v>
      </c>
      <c r="I14" s="6">
        <f t="shared" si="3"/>
        <v>96000</v>
      </c>
      <c r="L14" s="8">
        <f>AVERAGE(H2:H51)</f>
        <v>258890</v>
      </c>
    </row>
    <row r="15" spans="1:12" x14ac:dyDescent="0.25">
      <c r="A15" s="2">
        <v>44113</v>
      </c>
      <c r="B15" t="s">
        <v>25</v>
      </c>
      <c r="C15" t="s">
        <v>12</v>
      </c>
      <c r="D15" t="s">
        <v>21</v>
      </c>
      <c r="E15" s="3">
        <v>52</v>
      </c>
      <c r="F15" s="4">
        <f t="shared" si="0"/>
        <v>4000</v>
      </c>
      <c r="G15" s="4">
        <f t="shared" si="1"/>
        <v>3000</v>
      </c>
      <c r="H15" s="4">
        <f t="shared" si="2"/>
        <v>208000</v>
      </c>
      <c r="I15" s="6">
        <f t="shared" si="3"/>
        <v>52000</v>
      </c>
    </row>
    <row r="16" spans="1:12" x14ac:dyDescent="0.25">
      <c r="A16" s="2">
        <v>44292</v>
      </c>
      <c r="B16" t="s">
        <v>17</v>
      </c>
      <c r="C16" t="s">
        <v>9</v>
      </c>
      <c r="D16" t="s">
        <v>13</v>
      </c>
      <c r="E16" s="3">
        <v>76</v>
      </c>
      <c r="F16" s="4">
        <f t="shared" si="0"/>
        <v>3500</v>
      </c>
      <c r="G16" s="4">
        <f t="shared" si="1"/>
        <v>2500</v>
      </c>
      <c r="H16" s="4">
        <f t="shared" si="2"/>
        <v>266000</v>
      </c>
      <c r="I16" s="6">
        <f t="shared" si="3"/>
        <v>76000</v>
      </c>
    </row>
    <row r="17" spans="1:9" x14ac:dyDescent="0.25">
      <c r="A17" s="2">
        <v>44362</v>
      </c>
      <c r="B17" t="s">
        <v>11</v>
      </c>
      <c r="C17" t="s">
        <v>18</v>
      </c>
      <c r="D17" t="s">
        <v>21</v>
      </c>
      <c r="E17" s="3">
        <v>145</v>
      </c>
      <c r="F17" s="4">
        <f t="shared" si="0"/>
        <v>4000</v>
      </c>
      <c r="G17" s="4">
        <f t="shared" si="1"/>
        <v>3000</v>
      </c>
      <c r="H17" s="4">
        <f t="shared" si="2"/>
        <v>580000</v>
      </c>
      <c r="I17" s="6">
        <f t="shared" si="3"/>
        <v>145000</v>
      </c>
    </row>
    <row r="18" spans="1:9" x14ac:dyDescent="0.25">
      <c r="A18" s="2">
        <v>44083</v>
      </c>
      <c r="B18" t="s">
        <v>8</v>
      </c>
      <c r="C18" t="s">
        <v>15</v>
      </c>
      <c r="D18" t="s">
        <v>26</v>
      </c>
      <c r="E18" s="3">
        <v>83</v>
      </c>
      <c r="F18" s="4">
        <f t="shared" si="0"/>
        <v>600</v>
      </c>
      <c r="G18" s="4">
        <f t="shared" si="1"/>
        <v>400</v>
      </c>
      <c r="H18" s="4">
        <f t="shared" si="2"/>
        <v>49800</v>
      </c>
      <c r="I18" s="6">
        <f t="shared" si="3"/>
        <v>16600</v>
      </c>
    </row>
    <row r="19" spans="1:9" x14ac:dyDescent="0.25">
      <c r="A19" s="2">
        <v>44421</v>
      </c>
      <c r="B19" t="s">
        <v>20</v>
      </c>
      <c r="C19" t="s">
        <v>15</v>
      </c>
      <c r="D19" t="s">
        <v>19</v>
      </c>
      <c r="E19" s="3">
        <v>91</v>
      </c>
      <c r="F19" s="4">
        <f t="shared" si="0"/>
        <v>1000</v>
      </c>
      <c r="G19" s="4">
        <f t="shared" si="1"/>
        <v>700</v>
      </c>
      <c r="H19" s="4">
        <f t="shared" si="2"/>
        <v>91000</v>
      </c>
      <c r="I19" s="6">
        <f t="shared" si="3"/>
        <v>27300</v>
      </c>
    </row>
    <row r="20" spans="1:9" x14ac:dyDescent="0.25">
      <c r="A20" s="2">
        <v>44070</v>
      </c>
      <c r="B20" t="s">
        <v>22</v>
      </c>
      <c r="C20" t="s">
        <v>9</v>
      </c>
      <c r="D20" t="s">
        <v>28</v>
      </c>
      <c r="E20" s="3">
        <v>108</v>
      </c>
      <c r="F20" s="4">
        <f t="shared" si="0"/>
        <v>10000</v>
      </c>
      <c r="G20" s="4">
        <f t="shared" si="1"/>
        <v>7000</v>
      </c>
      <c r="H20" s="4">
        <f t="shared" si="2"/>
        <v>1080000</v>
      </c>
      <c r="I20" s="6">
        <f t="shared" si="3"/>
        <v>324000</v>
      </c>
    </row>
    <row r="21" spans="1:9" x14ac:dyDescent="0.25">
      <c r="A21" s="2">
        <v>44293</v>
      </c>
      <c r="B21" t="s">
        <v>14</v>
      </c>
      <c r="C21" t="s">
        <v>18</v>
      </c>
      <c r="D21" t="s">
        <v>21</v>
      </c>
      <c r="E21" s="3">
        <v>144</v>
      </c>
      <c r="F21" s="4">
        <f t="shared" si="0"/>
        <v>4000</v>
      </c>
      <c r="G21" s="4">
        <f t="shared" si="1"/>
        <v>3000</v>
      </c>
      <c r="H21" s="4">
        <f t="shared" si="2"/>
        <v>576000</v>
      </c>
      <c r="I21" s="6">
        <f t="shared" si="3"/>
        <v>144000</v>
      </c>
    </row>
    <row r="22" spans="1:9" x14ac:dyDescent="0.25">
      <c r="A22" s="2">
        <v>43990</v>
      </c>
      <c r="B22" t="s">
        <v>20</v>
      </c>
      <c r="C22" t="s">
        <v>15</v>
      </c>
      <c r="D22" t="s">
        <v>26</v>
      </c>
      <c r="E22" s="3">
        <v>92</v>
      </c>
      <c r="F22" s="4">
        <f t="shared" si="0"/>
        <v>600</v>
      </c>
      <c r="G22" s="4">
        <f t="shared" si="1"/>
        <v>400</v>
      </c>
      <c r="H22" s="4">
        <f t="shared" si="2"/>
        <v>55200</v>
      </c>
      <c r="I22" s="6">
        <f t="shared" si="3"/>
        <v>18400</v>
      </c>
    </row>
    <row r="23" spans="1:9" x14ac:dyDescent="0.25">
      <c r="A23" s="2">
        <v>44551</v>
      </c>
      <c r="B23" t="s">
        <v>24</v>
      </c>
      <c r="C23" t="s">
        <v>9</v>
      </c>
      <c r="D23" t="s">
        <v>10</v>
      </c>
      <c r="E23" s="3">
        <v>71</v>
      </c>
      <c r="F23" s="4">
        <f t="shared" si="0"/>
        <v>6000</v>
      </c>
      <c r="G23" s="4">
        <f t="shared" si="1"/>
        <v>4000</v>
      </c>
      <c r="H23" s="4">
        <f t="shared" si="2"/>
        <v>426000</v>
      </c>
      <c r="I23" s="6">
        <f t="shared" si="3"/>
        <v>142000</v>
      </c>
    </row>
    <row r="24" spans="1:9" x14ac:dyDescent="0.25">
      <c r="A24" s="2">
        <v>44418</v>
      </c>
      <c r="B24" t="s">
        <v>8</v>
      </c>
      <c r="C24" t="s">
        <v>12</v>
      </c>
      <c r="D24" t="s">
        <v>26</v>
      </c>
      <c r="E24" s="3">
        <v>103</v>
      </c>
      <c r="F24" s="4">
        <f t="shared" si="0"/>
        <v>600</v>
      </c>
      <c r="G24" s="4">
        <f t="shared" si="1"/>
        <v>400</v>
      </c>
      <c r="H24" s="4">
        <f t="shared" si="2"/>
        <v>61800</v>
      </c>
      <c r="I24" s="6">
        <f t="shared" si="3"/>
        <v>20600</v>
      </c>
    </row>
    <row r="25" spans="1:9" x14ac:dyDescent="0.25">
      <c r="A25" s="2">
        <v>44532</v>
      </c>
      <c r="B25" t="s">
        <v>27</v>
      </c>
      <c r="C25" t="s">
        <v>18</v>
      </c>
      <c r="D25" t="s">
        <v>19</v>
      </c>
      <c r="E25" s="3">
        <v>55</v>
      </c>
      <c r="F25" s="4">
        <f t="shared" si="0"/>
        <v>1000</v>
      </c>
      <c r="G25" s="4">
        <f t="shared" si="1"/>
        <v>700</v>
      </c>
      <c r="H25" s="4">
        <f t="shared" si="2"/>
        <v>55000</v>
      </c>
      <c r="I25" s="6">
        <f t="shared" si="3"/>
        <v>16500</v>
      </c>
    </row>
    <row r="26" spans="1:9" x14ac:dyDescent="0.25">
      <c r="A26" s="2">
        <v>44438</v>
      </c>
      <c r="B26" t="s">
        <v>22</v>
      </c>
      <c r="C26" t="s">
        <v>12</v>
      </c>
      <c r="D26" t="s">
        <v>21</v>
      </c>
      <c r="E26" s="3">
        <v>93</v>
      </c>
      <c r="F26" s="4">
        <f t="shared" si="0"/>
        <v>4000</v>
      </c>
      <c r="G26" s="4">
        <f t="shared" si="1"/>
        <v>3000</v>
      </c>
      <c r="H26" s="4">
        <f t="shared" si="2"/>
        <v>372000</v>
      </c>
      <c r="I26" s="6">
        <f t="shared" si="3"/>
        <v>93000</v>
      </c>
    </row>
    <row r="27" spans="1:9" x14ac:dyDescent="0.25">
      <c r="A27" s="2">
        <v>43971</v>
      </c>
      <c r="B27" t="s">
        <v>14</v>
      </c>
      <c r="C27" t="s">
        <v>15</v>
      </c>
      <c r="D27" t="s">
        <v>26</v>
      </c>
      <c r="E27" s="3">
        <v>143</v>
      </c>
      <c r="F27" s="4">
        <f t="shared" si="0"/>
        <v>600</v>
      </c>
      <c r="G27" s="4">
        <f t="shared" si="1"/>
        <v>400</v>
      </c>
      <c r="H27" s="4">
        <f t="shared" si="2"/>
        <v>85800</v>
      </c>
      <c r="I27" s="6">
        <f t="shared" si="3"/>
        <v>28600</v>
      </c>
    </row>
    <row r="28" spans="1:9" x14ac:dyDescent="0.25">
      <c r="A28" s="2">
        <v>44452</v>
      </c>
      <c r="B28" t="s">
        <v>23</v>
      </c>
      <c r="C28" t="s">
        <v>9</v>
      </c>
      <c r="D28" t="s">
        <v>13</v>
      </c>
      <c r="E28" s="3">
        <v>143</v>
      </c>
      <c r="F28" s="4">
        <f t="shared" si="0"/>
        <v>3500</v>
      </c>
      <c r="G28" s="4">
        <f t="shared" si="1"/>
        <v>2500</v>
      </c>
      <c r="H28" s="4">
        <f t="shared" si="2"/>
        <v>500500</v>
      </c>
      <c r="I28" s="6">
        <f t="shared" si="3"/>
        <v>143000</v>
      </c>
    </row>
    <row r="29" spans="1:9" x14ac:dyDescent="0.25">
      <c r="A29" s="2">
        <v>44496</v>
      </c>
      <c r="B29" t="s">
        <v>25</v>
      </c>
      <c r="C29" t="s">
        <v>18</v>
      </c>
      <c r="D29" t="s">
        <v>26</v>
      </c>
      <c r="E29" s="3">
        <v>99</v>
      </c>
      <c r="F29" s="4">
        <f t="shared" si="0"/>
        <v>600</v>
      </c>
      <c r="G29" s="4">
        <f t="shared" si="1"/>
        <v>400</v>
      </c>
      <c r="H29" s="4">
        <f t="shared" si="2"/>
        <v>59400</v>
      </c>
      <c r="I29" s="6">
        <f t="shared" si="3"/>
        <v>19800</v>
      </c>
    </row>
    <row r="30" spans="1:9" x14ac:dyDescent="0.25">
      <c r="A30" s="2">
        <v>44187</v>
      </c>
      <c r="B30" t="s">
        <v>17</v>
      </c>
      <c r="C30" t="s">
        <v>9</v>
      </c>
      <c r="D30" t="s">
        <v>19</v>
      </c>
      <c r="E30" s="3">
        <v>120</v>
      </c>
      <c r="F30" s="4">
        <f t="shared" si="0"/>
        <v>1000</v>
      </c>
      <c r="G30" s="4">
        <f t="shared" si="1"/>
        <v>700</v>
      </c>
      <c r="H30" s="4">
        <f t="shared" si="2"/>
        <v>120000</v>
      </c>
      <c r="I30" s="6">
        <f t="shared" si="3"/>
        <v>36000</v>
      </c>
    </row>
    <row r="31" spans="1:9" x14ac:dyDescent="0.25">
      <c r="A31" s="2">
        <v>44405</v>
      </c>
      <c r="B31" t="s">
        <v>11</v>
      </c>
      <c r="C31" t="s">
        <v>15</v>
      </c>
      <c r="D31" t="s">
        <v>13</v>
      </c>
      <c r="E31" s="3">
        <v>66</v>
      </c>
      <c r="F31" s="4">
        <f t="shared" si="0"/>
        <v>3500</v>
      </c>
      <c r="G31" s="4">
        <f t="shared" si="1"/>
        <v>2500</v>
      </c>
      <c r="H31" s="4">
        <f t="shared" si="2"/>
        <v>231000</v>
      </c>
      <c r="I31" s="6">
        <f t="shared" si="3"/>
        <v>66000</v>
      </c>
    </row>
    <row r="32" spans="1:9" x14ac:dyDescent="0.25">
      <c r="A32" s="2">
        <v>44103</v>
      </c>
      <c r="B32" t="s">
        <v>25</v>
      </c>
      <c r="C32" t="s">
        <v>18</v>
      </c>
      <c r="D32" t="s">
        <v>16</v>
      </c>
      <c r="E32" s="3">
        <v>88</v>
      </c>
      <c r="F32" s="4">
        <f t="shared" si="0"/>
        <v>1200</v>
      </c>
      <c r="G32" s="4">
        <f t="shared" si="1"/>
        <v>800</v>
      </c>
      <c r="H32" s="4">
        <f t="shared" si="2"/>
        <v>105600</v>
      </c>
      <c r="I32" s="6">
        <f t="shared" si="3"/>
        <v>35200</v>
      </c>
    </row>
    <row r="33" spans="1:9" x14ac:dyDescent="0.25">
      <c r="A33" s="2">
        <v>44126</v>
      </c>
      <c r="B33" t="s">
        <v>17</v>
      </c>
      <c r="C33" t="s">
        <v>12</v>
      </c>
      <c r="D33" t="s">
        <v>28</v>
      </c>
      <c r="E33" s="3">
        <v>127</v>
      </c>
      <c r="F33" s="4">
        <f t="shared" si="0"/>
        <v>10000</v>
      </c>
      <c r="G33" s="4">
        <f t="shared" si="1"/>
        <v>7000</v>
      </c>
      <c r="H33" s="4">
        <f t="shared" si="2"/>
        <v>1270000</v>
      </c>
      <c r="I33" s="6">
        <f t="shared" si="3"/>
        <v>381000</v>
      </c>
    </row>
    <row r="34" spans="1:9" x14ac:dyDescent="0.25">
      <c r="A34" s="2">
        <v>43970</v>
      </c>
      <c r="B34" t="s">
        <v>20</v>
      </c>
      <c r="C34" t="s">
        <v>9</v>
      </c>
      <c r="D34" t="s">
        <v>21</v>
      </c>
      <c r="E34" s="3">
        <v>67</v>
      </c>
      <c r="F34" s="4">
        <f t="shared" si="0"/>
        <v>4000</v>
      </c>
      <c r="G34" s="4">
        <f t="shared" si="1"/>
        <v>3000</v>
      </c>
      <c r="H34" s="4">
        <f t="shared" si="2"/>
        <v>268000</v>
      </c>
      <c r="I34" s="6">
        <f t="shared" si="3"/>
        <v>67000</v>
      </c>
    </row>
    <row r="35" spans="1:9" x14ac:dyDescent="0.25">
      <c r="A35" s="2">
        <v>44536</v>
      </c>
      <c r="B35" t="s">
        <v>11</v>
      </c>
      <c r="C35" t="s">
        <v>12</v>
      </c>
      <c r="D35" t="s">
        <v>16</v>
      </c>
      <c r="E35" s="3">
        <v>67</v>
      </c>
      <c r="F35" s="4">
        <f t="shared" si="0"/>
        <v>1200</v>
      </c>
      <c r="G35" s="4">
        <f t="shared" si="1"/>
        <v>800</v>
      </c>
      <c r="H35" s="4">
        <f t="shared" si="2"/>
        <v>80400</v>
      </c>
      <c r="I35" s="6">
        <f t="shared" si="3"/>
        <v>26800</v>
      </c>
    </row>
    <row r="36" spans="1:9" x14ac:dyDescent="0.25">
      <c r="A36" s="2">
        <v>44069</v>
      </c>
      <c r="B36" t="s">
        <v>27</v>
      </c>
      <c r="C36" t="s">
        <v>15</v>
      </c>
      <c r="D36" t="s">
        <v>19</v>
      </c>
      <c r="E36" s="3">
        <v>149</v>
      </c>
      <c r="F36" s="4">
        <f t="shared" si="0"/>
        <v>1000</v>
      </c>
      <c r="G36" s="4">
        <f t="shared" si="1"/>
        <v>700</v>
      </c>
      <c r="H36" s="4">
        <f t="shared" si="2"/>
        <v>149000</v>
      </c>
      <c r="I36" s="6">
        <f t="shared" si="3"/>
        <v>44700</v>
      </c>
    </row>
    <row r="37" spans="1:9" x14ac:dyDescent="0.25">
      <c r="A37" s="2">
        <v>44378</v>
      </c>
      <c r="B37" t="s">
        <v>20</v>
      </c>
      <c r="C37" t="s">
        <v>18</v>
      </c>
      <c r="D37" t="s">
        <v>26</v>
      </c>
      <c r="E37" s="3">
        <v>104</v>
      </c>
      <c r="F37" s="4">
        <f t="shared" si="0"/>
        <v>600</v>
      </c>
      <c r="G37" s="4">
        <f t="shared" si="1"/>
        <v>400</v>
      </c>
      <c r="H37" s="4">
        <f t="shared" si="2"/>
        <v>62400</v>
      </c>
      <c r="I37" s="6">
        <f t="shared" si="3"/>
        <v>20800</v>
      </c>
    </row>
    <row r="38" spans="1:9" x14ac:dyDescent="0.25">
      <c r="A38" s="2">
        <v>44404</v>
      </c>
      <c r="B38" t="s">
        <v>24</v>
      </c>
      <c r="C38" t="s">
        <v>9</v>
      </c>
      <c r="D38" t="s">
        <v>26</v>
      </c>
      <c r="E38" s="3">
        <v>57</v>
      </c>
      <c r="F38" s="4">
        <f t="shared" si="0"/>
        <v>600</v>
      </c>
      <c r="G38" s="4">
        <f t="shared" si="1"/>
        <v>400</v>
      </c>
      <c r="H38" s="4">
        <f t="shared" si="2"/>
        <v>34200</v>
      </c>
      <c r="I38" s="6">
        <f t="shared" si="3"/>
        <v>11400</v>
      </c>
    </row>
    <row r="39" spans="1:9" x14ac:dyDescent="0.25">
      <c r="A39" s="2">
        <v>44109</v>
      </c>
      <c r="B39" t="s">
        <v>14</v>
      </c>
      <c r="C39" t="s">
        <v>12</v>
      </c>
      <c r="D39" t="s">
        <v>26</v>
      </c>
      <c r="E39" s="3">
        <v>90</v>
      </c>
      <c r="F39" s="4">
        <f t="shared" si="0"/>
        <v>600</v>
      </c>
      <c r="G39" s="4">
        <f t="shared" si="1"/>
        <v>400</v>
      </c>
      <c r="H39" s="4">
        <f t="shared" si="2"/>
        <v>54000</v>
      </c>
      <c r="I39" s="6">
        <f t="shared" si="3"/>
        <v>18000</v>
      </c>
    </row>
    <row r="40" spans="1:9" x14ac:dyDescent="0.25">
      <c r="A40" s="2">
        <v>44076</v>
      </c>
      <c r="B40" t="s">
        <v>22</v>
      </c>
      <c r="C40" t="s">
        <v>15</v>
      </c>
      <c r="D40" t="s">
        <v>26</v>
      </c>
      <c r="E40" s="3">
        <v>67</v>
      </c>
      <c r="F40" s="4">
        <f t="shared" si="0"/>
        <v>600</v>
      </c>
      <c r="G40" s="4">
        <f t="shared" si="1"/>
        <v>400</v>
      </c>
      <c r="H40" s="4">
        <f t="shared" si="2"/>
        <v>40200</v>
      </c>
      <c r="I40" s="6">
        <f t="shared" si="3"/>
        <v>13400</v>
      </c>
    </row>
    <row r="41" spans="1:9" x14ac:dyDescent="0.25">
      <c r="A41" s="2">
        <v>44441</v>
      </c>
      <c r="B41" t="s">
        <v>8</v>
      </c>
      <c r="C41" t="s">
        <v>18</v>
      </c>
      <c r="D41" t="s">
        <v>21</v>
      </c>
      <c r="E41" s="3">
        <v>127</v>
      </c>
      <c r="F41" s="4">
        <f t="shared" si="0"/>
        <v>4000</v>
      </c>
      <c r="G41" s="4">
        <f t="shared" si="1"/>
        <v>3000</v>
      </c>
      <c r="H41" s="4">
        <f t="shared" si="2"/>
        <v>508000</v>
      </c>
      <c r="I41" s="6">
        <f t="shared" si="3"/>
        <v>127000</v>
      </c>
    </row>
    <row r="42" spans="1:9" x14ac:dyDescent="0.25">
      <c r="A42" s="2">
        <v>44299</v>
      </c>
      <c r="B42" t="s">
        <v>22</v>
      </c>
      <c r="C42" t="s">
        <v>9</v>
      </c>
      <c r="D42" t="s">
        <v>19</v>
      </c>
      <c r="E42" s="3">
        <v>108</v>
      </c>
      <c r="F42" s="4">
        <f t="shared" si="0"/>
        <v>1000</v>
      </c>
      <c r="G42" s="4">
        <f t="shared" si="1"/>
        <v>700</v>
      </c>
      <c r="H42" s="4">
        <f t="shared" si="2"/>
        <v>108000</v>
      </c>
      <c r="I42" s="6">
        <f t="shared" si="3"/>
        <v>32400</v>
      </c>
    </row>
    <row r="43" spans="1:9" x14ac:dyDescent="0.25">
      <c r="A43" s="2">
        <v>44322</v>
      </c>
      <c r="B43" t="s">
        <v>14</v>
      </c>
      <c r="C43" t="s">
        <v>12</v>
      </c>
      <c r="D43" t="s">
        <v>13</v>
      </c>
      <c r="E43" s="3">
        <v>66</v>
      </c>
      <c r="F43" s="4">
        <f t="shared" si="0"/>
        <v>3500</v>
      </c>
      <c r="G43" s="4">
        <f t="shared" si="1"/>
        <v>2500</v>
      </c>
      <c r="H43" s="4">
        <f t="shared" si="2"/>
        <v>231000</v>
      </c>
      <c r="I43" s="6">
        <f t="shared" si="3"/>
        <v>66000</v>
      </c>
    </row>
    <row r="44" spans="1:9" x14ac:dyDescent="0.25">
      <c r="A44" s="2">
        <v>44211</v>
      </c>
      <c r="B44" t="s">
        <v>8</v>
      </c>
      <c r="C44" t="s">
        <v>18</v>
      </c>
      <c r="D44" t="s">
        <v>10</v>
      </c>
      <c r="E44" s="3">
        <v>78</v>
      </c>
      <c r="F44" s="4">
        <f t="shared" si="0"/>
        <v>6000</v>
      </c>
      <c r="G44" s="4">
        <f t="shared" si="1"/>
        <v>4000</v>
      </c>
      <c r="H44" s="4">
        <f t="shared" si="2"/>
        <v>468000</v>
      </c>
      <c r="I44" s="6">
        <f t="shared" si="3"/>
        <v>156000</v>
      </c>
    </row>
    <row r="45" spans="1:9" x14ac:dyDescent="0.25">
      <c r="A45" s="2">
        <v>44070</v>
      </c>
      <c r="B45" t="s">
        <v>24</v>
      </c>
      <c r="C45" t="s">
        <v>15</v>
      </c>
      <c r="D45" t="s">
        <v>19</v>
      </c>
      <c r="E45" s="3">
        <v>69</v>
      </c>
      <c r="F45" s="4">
        <f t="shared" si="0"/>
        <v>1000</v>
      </c>
      <c r="G45" s="4">
        <f t="shared" si="1"/>
        <v>700</v>
      </c>
      <c r="H45" s="4">
        <f t="shared" si="2"/>
        <v>69000</v>
      </c>
      <c r="I45" s="6">
        <f t="shared" si="3"/>
        <v>20700</v>
      </c>
    </row>
    <row r="46" spans="1:9" x14ac:dyDescent="0.25">
      <c r="A46" s="2">
        <v>44232</v>
      </c>
      <c r="B46" t="s">
        <v>20</v>
      </c>
      <c r="C46" t="s">
        <v>9</v>
      </c>
      <c r="D46" t="s">
        <v>16</v>
      </c>
      <c r="E46" s="3">
        <v>59</v>
      </c>
      <c r="F46" s="4">
        <f t="shared" si="0"/>
        <v>1200</v>
      </c>
      <c r="G46" s="4">
        <f t="shared" si="1"/>
        <v>800</v>
      </c>
      <c r="H46" s="4">
        <f t="shared" si="2"/>
        <v>70800</v>
      </c>
      <c r="I46" s="6">
        <f t="shared" si="3"/>
        <v>23600</v>
      </c>
    </row>
    <row r="47" spans="1:9" x14ac:dyDescent="0.25">
      <c r="A47" s="2">
        <v>44517</v>
      </c>
      <c r="B47" t="s">
        <v>27</v>
      </c>
      <c r="C47" t="s">
        <v>15</v>
      </c>
      <c r="D47" t="s">
        <v>26</v>
      </c>
      <c r="E47" s="3">
        <v>109</v>
      </c>
      <c r="F47" s="4">
        <f t="shared" si="0"/>
        <v>600</v>
      </c>
      <c r="G47" s="4">
        <f t="shared" si="1"/>
        <v>400</v>
      </c>
      <c r="H47" s="4">
        <f t="shared" si="2"/>
        <v>65400</v>
      </c>
      <c r="I47" s="6">
        <f t="shared" si="3"/>
        <v>21800</v>
      </c>
    </row>
    <row r="48" spans="1:9" x14ac:dyDescent="0.25">
      <c r="A48" s="2">
        <v>44193</v>
      </c>
      <c r="B48" t="s">
        <v>25</v>
      </c>
      <c r="C48" t="s">
        <v>12</v>
      </c>
      <c r="D48" t="s">
        <v>21</v>
      </c>
      <c r="E48" s="3">
        <v>61</v>
      </c>
      <c r="F48" s="4">
        <f t="shared" si="0"/>
        <v>4000</v>
      </c>
      <c r="G48" s="4">
        <f t="shared" si="1"/>
        <v>3000</v>
      </c>
      <c r="H48" s="4">
        <f t="shared" si="2"/>
        <v>244000</v>
      </c>
      <c r="I48" s="6">
        <f t="shared" si="3"/>
        <v>61000</v>
      </c>
    </row>
    <row r="49" spans="1:9" x14ac:dyDescent="0.25">
      <c r="A49" s="2">
        <v>44496</v>
      </c>
      <c r="B49" t="s">
        <v>20</v>
      </c>
      <c r="C49" t="s">
        <v>18</v>
      </c>
      <c r="D49" t="s">
        <v>26</v>
      </c>
      <c r="E49" s="3">
        <v>130</v>
      </c>
      <c r="F49" s="4">
        <f t="shared" si="0"/>
        <v>600</v>
      </c>
      <c r="G49" s="4">
        <f t="shared" si="1"/>
        <v>400</v>
      </c>
      <c r="H49" s="4">
        <f t="shared" si="2"/>
        <v>78000</v>
      </c>
      <c r="I49" s="6">
        <f t="shared" si="3"/>
        <v>26000</v>
      </c>
    </row>
    <row r="50" spans="1:9" x14ac:dyDescent="0.25">
      <c r="A50" s="2">
        <v>44502</v>
      </c>
      <c r="B50" t="s">
        <v>17</v>
      </c>
      <c r="C50" t="s">
        <v>15</v>
      </c>
      <c r="D50" t="s">
        <v>13</v>
      </c>
      <c r="E50" s="3">
        <v>60</v>
      </c>
      <c r="F50" s="4">
        <f t="shared" si="0"/>
        <v>3500</v>
      </c>
      <c r="G50" s="4">
        <f t="shared" si="1"/>
        <v>2500</v>
      </c>
      <c r="H50" s="4">
        <f t="shared" si="2"/>
        <v>210000</v>
      </c>
      <c r="I50" s="6">
        <f t="shared" si="3"/>
        <v>60000</v>
      </c>
    </row>
    <row r="51" spans="1:9" x14ac:dyDescent="0.25">
      <c r="A51" s="2">
        <v>43958</v>
      </c>
      <c r="B51" t="s">
        <v>11</v>
      </c>
      <c r="C51" t="s">
        <v>12</v>
      </c>
      <c r="D51" t="s">
        <v>10</v>
      </c>
      <c r="E51" s="3">
        <v>73</v>
      </c>
      <c r="F51" s="4">
        <f t="shared" si="0"/>
        <v>6000</v>
      </c>
      <c r="G51" s="4">
        <f t="shared" si="1"/>
        <v>4000</v>
      </c>
      <c r="H51" s="4">
        <f t="shared" si="2"/>
        <v>438000</v>
      </c>
      <c r="I51" s="6">
        <f t="shared" si="3"/>
        <v>146000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2A6C0-1BAE-4865-9DD0-E9D4767B2E09}">
  <dimension ref="A1"/>
  <sheetViews>
    <sheetView showGridLines="0" tabSelected="1" zoomScale="55" workbookViewId="0">
      <selection activeCell="AA22" sqref="AA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SalesData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SANGAMESH 22</cp:lastModifiedBy>
  <dcterms:created xsi:type="dcterms:W3CDTF">2024-05-30T14:35:02Z</dcterms:created>
  <dcterms:modified xsi:type="dcterms:W3CDTF">2026-06-22T06:20:09Z</dcterms:modified>
</cp:coreProperties>
</file>